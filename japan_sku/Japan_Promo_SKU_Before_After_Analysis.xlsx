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KU Comparison" sheetId="2" state="visible" r:id="rId2"/>
    <sheet name="Pattern Comparison" sheetId="3" state="visible" r:id="rId3"/>
    <sheet name="July vs August" sheetId="4" state="visible" r:id="rId4"/>
    <sheet name="Raw Before" sheetId="5" state="visible" r:id="rId5"/>
    <sheet name="Raw After" sheetId="6" state="visible" r:id="rId6"/>
    <sheet name="Methodology" sheetId="7" state="visible" r:id="rId7"/>
  </sheets>
  <definedNames>
    <definedName name="_xlnm._FilterDatabase" localSheetId="1" hidden="1">'SKU Comparison'!$A$4:$K$67</definedName>
    <definedName name="_xlnm._FilterDatabase" localSheetId="2" hidden="1">'Pattern Comparison'!$A$4:$K$9</definedName>
    <definedName name="_xlnm._FilterDatabase" localSheetId="4" hidden="1">'Raw Before'!$A$4:$O$85</definedName>
    <definedName name="_xlnm._FilterDatabase" localSheetId="5" hidden="1">'Raw After'!$A$4:$O$110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0.0%"/>
    <numFmt numFmtId="165" formatCode="0.0%;[Red]-0.0%"/>
    <numFmt numFmtId="166" formatCode="₱#,##0.00"/>
    <numFmt numFmtId="167" formatCode="yyyy-mm-dd"/>
    <numFmt numFmtId="168" formatCode="mmm d, yyyy"/>
  </numFmts>
  <fonts count="6">
    <font>
      <name val="Calibri"/>
      <family val="2"/>
      <color theme="1"/>
      <sz val="11"/>
      <scheme val="minor"/>
    </font>
    <font>
      <b val="1"/>
      <color rgb="00FFFFFF"/>
      <sz val="20"/>
    </font>
    <font>
      <i val="1"/>
      <color rgb="00667085"/>
      <sz val="10"/>
    </font>
    <font>
      <b val="1"/>
      <color rgb="009C5700"/>
    </font>
    <font>
      <b val="1"/>
      <color rgb="00FFFFFF"/>
    </font>
    <font>
      <b val="1"/>
      <color rgb="0017365D"/>
      <sz val="16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2CC"/>
      </patternFill>
    </fill>
    <fill>
      <patternFill patternType="solid">
        <fgColor rgb="002F75B5"/>
      </patternFill>
    </fill>
    <fill>
      <patternFill patternType="solid">
        <fgColor rgb="00D9EAF7"/>
      </patternFill>
    </fill>
    <fill>
      <patternFill patternType="solid">
        <fgColor rgb="00F2F4F7"/>
      </patternFill>
    </fill>
  </fills>
  <borders count="2">
    <border>
      <left/>
      <right/>
      <top/>
      <bottom/>
      <diagonal/>
    </border>
    <border>
      <bottom style="thin">
        <color rgb="00D0D5DD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center"/>
    </xf>
    <xf numFmtId="3" fontId="5" fillId="5" borderId="0" applyAlignment="1" pivotButton="0" quotePrefix="0" xfId="0">
      <alignment horizontal="center"/>
    </xf>
    <xf numFmtId="164" fontId="5" fillId="5" borderId="0" applyAlignment="1" pivotButton="0" quotePrefix="0" xfId="0">
      <alignment horizontal="center"/>
    </xf>
    <xf numFmtId="0" fontId="4" fillId="4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5" fontId="0" fillId="0" borderId="1" pivotButton="0" quotePrefix="0" xfId="0"/>
    <xf numFmtId="0" fontId="0" fillId="6" borderId="1" pivotButton="0" quotePrefix="0" xfId="0"/>
    <xf numFmtId="3" fontId="0" fillId="6" borderId="1" pivotButton="0" quotePrefix="0" xfId="0"/>
    <xf numFmtId="165" fontId="0" fillId="6" borderId="1" pivotButton="0" quotePrefix="0" xfId="0"/>
    <xf numFmtId="166" fontId="0" fillId="0" borderId="1" pivotButton="0" quotePrefix="0" xfId="0"/>
    <xf numFmtId="2" fontId="0" fillId="6" borderId="1" pivotButton="0" quotePrefix="0" xfId="0"/>
    <xf numFmtId="0" fontId="0" fillId="0" borderId="0" applyAlignment="1" pivotButton="0" quotePrefix="0" xfId="0">
      <alignment vertical="center" wrapText="1"/>
    </xf>
    <xf numFmtId="0" fontId="0" fillId="6" borderId="0" applyAlignment="1" pivotButton="0" quotePrefix="0" xfId="0">
      <alignment vertical="center" wrapText="1"/>
    </xf>
    <xf numFmtId="166" fontId="0" fillId="6" borderId="1" pivotButton="0" quotePrefix="0" xfId="0"/>
    <xf numFmtId="2" fontId="0" fillId="0" borderId="1" pivotButton="0" quotePrefix="0" xfId="0"/>
    <xf numFmtId="168" fontId="0" fillId="0" borderId="1" pivotButton="0" quotePrefix="0" xfId="0"/>
    <xf numFmtId="168" fontId="0" fillId="6" borderId="1" pivotButton="0" quotePrefix="0" xfId="0"/>
    <xf numFmtId="168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Largest Tire-Quantity Increases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'Executive Summary'!D28</f>
            </strRef>
          </tx>
          <spPr>
            <a:ln>
              <a:prstDash val="solid"/>
            </a:ln>
          </spPr>
          <cat>
            <numRef>
              <f>'Executive Summary'!$A$29:$A$38</f>
            </numRef>
          </cat>
          <val>
            <numRef>
              <f>'Executive Summary'!$D$29:$D$38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Additional Tires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26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RawBefore" displayName="tblRawBefore" ref="A4:O85" headerRowCount="1">
  <autoFilter ref="A4:O85"/>
  <tableColumns count="15">
    <tableColumn id="1" name="Period"/>
    <tableColumn id="2" name="Order Date"/>
    <tableColumn id="3" name="Pickup Date"/>
    <tableColumn id="4" name="Order ID"/>
    <tableColumn id="5" name="Customer"/>
    <tableColumn id="6" name="SKU"/>
    <tableColumn id="7" name="Agent"/>
    <tableColumn id="8" name="Status"/>
    <tableColumn id="9" name="Sales Agent"/>
    <tableColumn id="10" name="Quantity"/>
    <tableColumn id="11" name="Payment Status"/>
    <tableColumn id="12" name="Pattern"/>
    <tableColumn id="13" name="Contact"/>
    <tableColumn id="14" name="Email"/>
    <tableColumn id="15" name="Net Sales (₱)"/>
  </tableColumns>
  <tableStyleInfo name="TableStyleMedium2" showRowStripes="1"/>
</table>
</file>

<file path=xl/tables/table2.xml><?xml version="1.0" encoding="utf-8"?>
<table xmlns="http://schemas.openxmlformats.org/spreadsheetml/2006/main" id="2" name="tblRawAfter" displayName="tblRawAfter" ref="A4:O110" headerRowCount="1">
  <autoFilter ref="A4:O110"/>
  <tableColumns count="15">
    <tableColumn id="1" name="Period"/>
    <tableColumn id="2" name="Order Date"/>
    <tableColumn id="3" name="Pickup Date"/>
    <tableColumn id="4" name="Order ID"/>
    <tableColumn id="5" name="Customer"/>
    <tableColumn id="6" name="SKU"/>
    <tableColumn id="7" name="Agent"/>
    <tableColumn id="8" name="Status"/>
    <tableColumn id="9" name="Sales Agent"/>
    <tableColumn id="10" name="Quantity"/>
    <tableColumn id="11" name="Payment Status"/>
    <tableColumn id="12" name="Pattern"/>
    <tableColumn id="13" name="Contact"/>
    <tableColumn id="14" name="Email"/>
    <tableColumn id="15" name="Net Sales (₱)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tabColor rgb="0000A6A6"/>
    <outlinePr summaryBelow="1" summaryRight="1"/>
    <pageSetUpPr fitToPage="1"/>
  </sheetPr>
  <dimension ref="A1:L3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34" customHeight="1">
      <c r="A1" s="1" t="inlineStr">
        <is>
          <t>Trip to Japan Promo — SKU Sales Analysis</t>
        </is>
      </c>
    </row>
    <row r="2" ht="28" customHeight="1">
      <c r="A2" s="2" t="inlineStr">
        <is>
          <t>Fulfilled Michelin orders: before versus after the July 15 cutover, plus July versus August context.</t>
        </is>
      </c>
    </row>
    <row r="3" ht="30" customHeight="1">
      <c r="A3" s="3" t="inlineStr">
        <is>
          <t>PRIMARY COMPARISON: May 28–July 14 vs July 15–August 31 (48 calendar days each). This is observational and does not prove the promo alone caused the change.</t>
        </is>
      </c>
    </row>
    <row r="5">
      <c r="A5" s="4" t="inlineStr">
        <is>
          <t>Before Tires</t>
        </is>
      </c>
      <c r="E5" s="4" t="inlineStr">
        <is>
          <t>After Tires</t>
        </is>
      </c>
      <c r="I5" s="4" t="inlineStr">
        <is>
          <t>Tire Growth</t>
        </is>
      </c>
    </row>
    <row r="6">
      <c r="A6" s="5" t="n">
        <v>325</v>
      </c>
      <c r="E6" s="5" t="n">
        <v>430</v>
      </c>
      <c r="I6" s="6" t="n">
        <v>0.323076923076923</v>
      </c>
    </row>
    <row r="8">
      <c r="A8" s="4" t="inlineStr">
        <is>
          <t>Before Orders</t>
        </is>
      </c>
      <c r="E8" s="4" t="inlineStr">
        <is>
          <t>After Orders</t>
        </is>
      </c>
      <c r="I8" s="4" t="inlineStr">
        <is>
          <t>Order Growth</t>
        </is>
      </c>
    </row>
    <row r="9">
      <c r="A9" s="5" t="n">
        <v>81</v>
      </c>
      <c r="E9" s="5" t="n">
        <v>106</v>
      </c>
      <c r="I9" s="6" t="n">
        <v>0.308641975308642</v>
      </c>
    </row>
    <row r="11">
      <c r="A11" s="7" t="inlineStr">
        <is>
          <t>Before vs After Results</t>
        </is>
      </c>
    </row>
    <row r="12">
      <c r="A12" s="8" t="inlineStr">
        <is>
          <t>Metric</t>
        </is>
      </c>
      <c r="B12" s="8" t="inlineStr">
        <is>
          <t>Before</t>
        </is>
      </c>
      <c r="C12" s="8" t="inlineStr">
        <is>
          <t>After</t>
        </is>
      </c>
      <c r="D12" s="8" t="inlineStr">
        <is>
          <t>Absolute Change</t>
        </is>
      </c>
      <c r="E12" s="8" t="inlineStr">
        <is>
          <t>% Change</t>
        </is>
      </c>
    </row>
    <row r="13">
      <c r="A13" s="9" t="inlineStr">
        <is>
          <t>Orders</t>
        </is>
      </c>
      <c r="B13" s="10" t="n">
        <v>81</v>
      </c>
      <c r="C13" s="10" t="n">
        <v>106</v>
      </c>
      <c r="D13" s="10" t="n">
        <v>25</v>
      </c>
      <c r="E13" s="11" t="n">
        <v>0.308641975308642</v>
      </c>
    </row>
    <row r="14">
      <c r="A14" s="12" t="inlineStr">
        <is>
          <t>Tires Sold</t>
        </is>
      </c>
      <c r="B14" s="13" t="n">
        <v>325</v>
      </c>
      <c r="C14" s="13" t="n">
        <v>430</v>
      </c>
      <c r="D14" s="13" t="n">
        <v>105</v>
      </c>
      <c r="E14" s="14" t="n">
        <v>0.323076923076923</v>
      </c>
    </row>
    <row r="15">
      <c r="A15" s="9" t="inlineStr">
        <is>
          <t>Net Sales</t>
        </is>
      </c>
      <c r="B15" s="15" t="n">
        <v>3216694.64</v>
      </c>
      <c r="C15" s="15" t="n">
        <v>4215834.86</v>
      </c>
      <c r="D15" s="15" t="n">
        <v>999140.2200000002</v>
      </c>
      <c r="E15" s="11" t="n">
        <v>0.3106108387086441</v>
      </c>
    </row>
    <row r="16">
      <c r="A16" s="12" t="inlineStr">
        <is>
          <t>Avg Tires / Order</t>
        </is>
      </c>
      <c r="B16" s="16" t="n">
        <v>4.012345679012346</v>
      </c>
      <c r="C16" s="16" t="n">
        <v>4.056603773584905</v>
      </c>
      <c r="D16" s="16" t="n">
        <v>0.04425809457255969</v>
      </c>
      <c r="E16" s="14" t="n">
        <v>0.01103047895500708</v>
      </c>
    </row>
    <row r="17">
      <c r="A17" s="9" t="inlineStr">
        <is>
          <t>Avg Net Sales / Tire</t>
        </is>
      </c>
      <c r="B17" s="15" t="n">
        <v>9897.521969230769</v>
      </c>
      <c r="C17" s="15" t="n">
        <v>9804.26711627907</v>
      </c>
      <c r="D17" s="15" t="n">
        <v>-93.25485295169892</v>
      </c>
      <c r="E17" s="11" t="n">
        <v>-0.009422040510908447</v>
      </c>
    </row>
    <row r="18">
      <c r="A18" s="12" t="inlineStr">
        <is>
          <t>Active SKUs</t>
        </is>
      </c>
      <c r="B18" s="13" t="n">
        <v>44</v>
      </c>
      <c r="C18" s="13" t="n">
        <v>49</v>
      </c>
      <c r="D18" s="13" t="n">
        <v>5</v>
      </c>
      <c r="E18" s="14" t="n">
        <v>0.1136363636363635</v>
      </c>
    </row>
    <row r="20">
      <c r="A20" s="7" t="inlineStr">
        <is>
          <t>Management Answer</t>
        </is>
      </c>
    </row>
    <row r="21" ht="29" customHeight="1">
      <c r="A21" s="17" t="inlineStr">
        <is>
          <t>• Yes—the identified promo SKU list is captured in the SKU Comparison tab (63 unique SKUs across both periods).</t>
        </is>
      </c>
    </row>
    <row r="22" ht="29" customHeight="1">
      <c r="A22" s="18" t="inlineStr">
        <is>
          <t>• After the July 15 cutover, fulfilled orders increased from 81 to 106 (30.9%), while tire quantity increased from 325 to 430 (32.3%).</t>
        </is>
      </c>
    </row>
    <row r="23" ht="29" customHeight="1">
      <c r="A23" s="17" t="inlineStr">
        <is>
          <t>• Net sales increased from ₱3,216,694.64 to ₱4,215,834.86 (31.1%). Average tires per order moved from 4.01 to 4.06.</t>
        </is>
      </c>
    </row>
    <row r="24" ht="29" customHeight="1">
      <c r="A24" s="18" t="inlineStr">
        <is>
          <t>• This supports a positive before/after association, but it is not causal proof: inventory, pricing, advertising, seasonality, and sales-agent activity were not controlled.</t>
        </is>
      </c>
    </row>
    <row r="27">
      <c r="A27" s="7" t="inlineStr">
        <is>
          <t>Top 10 SKU Tire-Quantity Increases</t>
        </is>
      </c>
    </row>
    <row r="28">
      <c r="A28" s="8" t="inlineStr">
        <is>
          <t>SKU</t>
        </is>
      </c>
      <c r="B28" s="8" t="inlineStr">
        <is>
          <t>Before Tires</t>
        </is>
      </c>
      <c r="C28" s="8" t="inlineStr">
        <is>
          <t>After Tires</t>
        </is>
      </c>
      <c r="D28" s="8" t="inlineStr">
        <is>
          <t>Change</t>
        </is>
      </c>
    </row>
    <row r="29">
      <c r="A29" s="9" t="inlineStr">
        <is>
          <t>MICHELIN 205/55/R17 PRIMACY 5 95W</t>
        </is>
      </c>
      <c r="B29" s="9" t="n">
        <v>8</v>
      </c>
      <c r="C29" s="9" t="n">
        <v>29</v>
      </c>
      <c r="D29" s="9" t="n">
        <v>21</v>
      </c>
    </row>
    <row r="30">
      <c r="A30" s="12" t="inlineStr">
        <is>
          <t>MICHELIN 195/60/R16 PRIMACY 5 93V</t>
        </is>
      </c>
      <c r="B30" s="12" t="n">
        <v>4</v>
      </c>
      <c r="C30" s="12" t="n">
        <v>20</v>
      </c>
      <c r="D30" s="12" t="n">
        <v>16</v>
      </c>
    </row>
    <row r="31">
      <c r="A31" s="9" t="inlineStr">
        <is>
          <t>MICHELIN 205/50/R17 PRIMACY 5 93W</t>
        </is>
      </c>
      <c r="B31" s="9" t="n">
        <v>8</v>
      </c>
      <c r="C31" s="9" t="n">
        <v>20</v>
      </c>
      <c r="D31" s="9" t="n">
        <v>12</v>
      </c>
    </row>
    <row r="32">
      <c r="A32" s="12" t="inlineStr">
        <is>
          <t>MICHELIN 225/55/R18 PRIMACY 5 102V</t>
        </is>
      </c>
      <c r="B32" s="12" t="n">
        <v>8</v>
      </c>
      <c r="C32" s="12" t="n">
        <v>20</v>
      </c>
      <c r="D32" s="12" t="n">
        <v>12</v>
      </c>
    </row>
    <row r="33">
      <c r="A33" s="9" t="inlineStr">
        <is>
          <t>MICHELIN 275/45/R21 LATITUDE SPORT 3 107Y</t>
        </is>
      </c>
      <c r="B33" s="9" t="n">
        <v>0</v>
      </c>
      <c r="C33" s="9" t="n">
        <v>12</v>
      </c>
      <c r="D33" s="9" t="n">
        <v>12</v>
      </c>
    </row>
    <row r="34">
      <c r="A34" s="12" t="inlineStr">
        <is>
          <t>MICHELIN 205/55/R16 PRIMACY 5 91W</t>
        </is>
      </c>
      <c r="B34" s="12" t="n">
        <v>12</v>
      </c>
      <c r="C34" s="12" t="n">
        <v>20</v>
      </c>
      <c r="D34" s="12" t="n">
        <v>8</v>
      </c>
    </row>
    <row r="35">
      <c r="A35" s="9" t="inlineStr">
        <is>
          <t>MICHELIN 205/60/R16 PRIMACY 5 96W XL</t>
        </is>
      </c>
      <c r="B35" s="9" t="n">
        <v>12</v>
      </c>
      <c r="C35" s="9" t="n">
        <v>20</v>
      </c>
      <c r="D35" s="9" t="n">
        <v>8</v>
      </c>
    </row>
    <row r="36">
      <c r="A36" s="12" t="inlineStr">
        <is>
          <t>MICHELIN 215/55/R17 PRIMACY 5 94V</t>
        </is>
      </c>
      <c r="B36" s="12" t="n">
        <v>8</v>
      </c>
      <c r="C36" s="12" t="n">
        <v>16</v>
      </c>
      <c r="D36" s="12" t="n">
        <v>8</v>
      </c>
    </row>
    <row r="37">
      <c r="A37" s="9" t="inlineStr">
        <is>
          <t>MICHELIN 215/55/R18 PRIMACY 5 99V</t>
        </is>
      </c>
      <c r="B37" s="9" t="n">
        <v>4</v>
      </c>
      <c r="C37" s="9" t="n">
        <v>12</v>
      </c>
      <c r="D37" s="9" t="n">
        <v>8</v>
      </c>
    </row>
    <row r="38">
      <c r="A38" s="12" t="inlineStr">
        <is>
          <t>MICHELIN 225/50/R18 PRIMACY 5 99W</t>
        </is>
      </c>
      <c r="B38" s="12" t="n">
        <v>0</v>
      </c>
      <c r="C38" s="12" t="n">
        <v>8</v>
      </c>
      <c r="D38" s="12" t="n">
        <v>8</v>
      </c>
    </row>
  </sheetData>
  <mergeCells count="22">
    <mergeCell ref="A27:F27"/>
    <mergeCell ref="E9:G9"/>
    <mergeCell ref="A3:L3"/>
    <mergeCell ref="A21:L21"/>
    <mergeCell ref="E6:G6"/>
    <mergeCell ref="A2:L2"/>
    <mergeCell ref="A5:C5"/>
    <mergeCell ref="I5:K5"/>
    <mergeCell ref="A8:C8"/>
    <mergeCell ref="A23:L23"/>
    <mergeCell ref="I8:K8"/>
    <mergeCell ref="A22:L22"/>
    <mergeCell ref="A20:L20"/>
    <mergeCell ref="I9:K9"/>
    <mergeCell ref="A9:C9"/>
    <mergeCell ref="I6:K6"/>
    <mergeCell ref="A24:L24"/>
    <mergeCell ref="E5:G5"/>
    <mergeCell ref="A11:L11"/>
    <mergeCell ref="A1:L1"/>
    <mergeCell ref="A6:C6"/>
    <mergeCell ref="E8:G8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K6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 ht="34" customHeight="1">
      <c r="A1" s="1" t="inlineStr">
        <is>
          <t>SKU Comparison</t>
        </is>
      </c>
    </row>
    <row r="2" ht="28" customHeight="1">
      <c r="A2" s="2" t="inlineStr">
        <is>
          <t>Fulfilled performance by item for the two 48-calendar-day reporting windows.</t>
        </is>
      </c>
    </row>
    <row r="4">
      <c r="A4" s="8" t="inlineStr">
        <is>
          <t>Promo SKU</t>
        </is>
      </c>
      <c r="B4" s="8" t="inlineStr">
        <is>
          <t>Before Orders</t>
        </is>
      </c>
      <c r="C4" s="8" t="inlineStr">
        <is>
          <t>After Orders</t>
        </is>
      </c>
      <c r="D4" s="8" t="inlineStr">
        <is>
          <t>Order Change</t>
        </is>
      </c>
      <c r="E4" s="8" t="inlineStr">
        <is>
          <t>Order % Change</t>
        </is>
      </c>
      <c r="F4" s="8" t="inlineStr">
        <is>
          <t>Before Tires</t>
        </is>
      </c>
      <c r="G4" s="8" t="inlineStr">
        <is>
          <t>After Tires</t>
        </is>
      </c>
      <c r="H4" s="8" t="inlineStr">
        <is>
          <t>Tire Change</t>
        </is>
      </c>
      <c r="I4" s="8" t="inlineStr">
        <is>
          <t>Tire % Change</t>
        </is>
      </c>
      <c r="J4" s="8" t="inlineStr">
        <is>
          <t>Before Net Sales</t>
        </is>
      </c>
      <c r="K4" s="8" t="inlineStr">
        <is>
          <t>After Net Sales</t>
        </is>
      </c>
    </row>
    <row r="5">
      <c r="A5" s="9" t="inlineStr">
        <is>
          <t>MICHELIN 205/55/R17 PRIMACY 5 95W</t>
        </is>
      </c>
      <c r="B5" s="9" t="n">
        <v>2</v>
      </c>
      <c r="C5" s="9" t="n">
        <v>7</v>
      </c>
      <c r="D5" s="9" t="n">
        <v>5</v>
      </c>
      <c r="E5" s="11" t="n">
        <v>2.5</v>
      </c>
      <c r="F5" s="9" t="n">
        <v>8</v>
      </c>
      <c r="G5" s="9" t="n">
        <v>29</v>
      </c>
      <c r="H5" s="9" t="n">
        <v>21</v>
      </c>
      <c r="I5" s="11" t="n">
        <v>2.625</v>
      </c>
      <c r="J5" s="15" t="n">
        <v>61263.4</v>
      </c>
      <c r="K5" s="15" t="n">
        <v>219473.23</v>
      </c>
    </row>
    <row r="6">
      <c r="A6" s="12" t="inlineStr">
        <is>
          <t>MICHELIN 195/60/R16 PRIMACY 5 93V</t>
        </is>
      </c>
      <c r="B6" s="12" t="n">
        <v>1</v>
      </c>
      <c r="C6" s="12" t="n">
        <v>5</v>
      </c>
      <c r="D6" s="12" t="n">
        <v>4</v>
      </c>
      <c r="E6" s="14" t="n">
        <v>4</v>
      </c>
      <c r="F6" s="12" t="n">
        <v>4</v>
      </c>
      <c r="G6" s="12" t="n">
        <v>20</v>
      </c>
      <c r="H6" s="12" t="n">
        <v>16</v>
      </c>
      <c r="I6" s="14" t="n">
        <v>4</v>
      </c>
      <c r="J6" s="19" t="n">
        <v>28169.64</v>
      </c>
      <c r="K6" s="19" t="n">
        <v>132142.87</v>
      </c>
    </row>
    <row r="7">
      <c r="A7" s="9" t="inlineStr">
        <is>
          <t>MICHELIN 275/45/R21 LATITUDE SPORT 3 107Y</t>
        </is>
      </c>
      <c r="B7" s="9" t="n">
        <v>0</v>
      </c>
      <c r="C7" s="9" t="n">
        <v>2</v>
      </c>
      <c r="D7" s="9" t="n">
        <v>2</v>
      </c>
      <c r="E7" s="11" t="inlineStr">
        <is>
          <t>New</t>
        </is>
      </c>
      <c r="F7" s="9" t="n">
        <v>0</v>
      </c>
      <c r="G7" s="9" t="n">
        <v>12</v>
      </c>
      <c r="H7" s="9" t="n">
        <v>12</v>
      </c>
      <c r="I7" s="11" t="inlineStr">
        <is>
          <t>New</t>
        </is>
      </c>
      <c r="J7" s="15" t="n">
        <v>0</v>
      </c>
      <c r="K7" s="15" t="n">
        <v>254178.57</v>
      </c>
    </row>
    <row r="8">
      <c r="A8" s="12" t="inlineStr">
        <is>
          <t>MICHELIN 205/50/R17 PRIMACY 5 93W</t>
        </is>
      </c>
      <c r="B8" s="12" t="n">
        <v>2</v>
      </c>
      <c r="C8" s="12" t="n">
        <v>5</v>
      </c>
      <c r="D8" s="12" t="n">
        <v>3</v>
      </c>
      <c r="E8" s="14" t="n">
        <v>1.5</v>
      </c>
      <c r="F8" s="12" t="n">
        <v>8</v>
      </c>
      <c r="G8" s="12" t="n">
        <v>20</v>
      </c>
      <c r="H8" s="12" t="n">
        <v>12</v>
      </c>
      <c r="I8" s="14" t="n">
        <v>1.5</v>
      </c>
      <c r="J8" s="19" t="n">
        <v>58973.21</v>
      </c>
      <c r="K8" s="19" t="n">
        <v>137276.78</v>
      </c>
    </row>
    <row r="9">
      <c r="A9" s="9" t="inlineStr">
        <is>
          <t>MICHELIN 225/55/R18 PRIMACY 5 102V</t>
        </is>
      </c>
      <c r="B9" s="9" t="n">
        <v>2</v>
      </c>
      <c r="C9" s="9" t="n">
        <v>5</v>
      </c>
      <c r="D9" s="9" t="n">
        <v>3</v>
      </c>
      <c r="E9" s="11" t="n">
        <v>1.5</v>
      </c>
      <c r="F9" s="9" t="n">
        <v>8</v>
      </c>
      <c r="G9" s="9" t="n">
        <v>20</v>
      </c>
      <c r="H9" s="9" t="n">
        <v>12</v>
      </c>
      <c r="I9" s="11" t="n">
        <v>1.5</v>
      </c>
      <c r="J9" s="15" t="n">
        <v>71598.22</v>
      </c>
      <c r="K9" s="15" t="n">
        <v>178995.55</v>
      </c>
    </row>
    <row r="10">
      <c r="A10" s="12" t="inlineStr">
        <is>
          <t>MICHELIN 265/35/ZR18 PILOT SPORT 5 97Y</t>
        </is>
      </c>
      <c r="B10" s="12" t="n">
        <v>0</v>
      </c>
      <c r="C10" s="12" t="n">
        <v>2</v>
      </c>
      <c r="D10" s="12" t="n">
        <v>2</v>
      </c>
      <c r="E10" s="14" t="inlineStr">
        <is>
          <t>New</t>
        </is>
      </c>
      <c r="F10" s="12" t="n">
        <v>0</v>
      </c>
      <c r="G10" s="12" t="n">
        <v>8</v>
      </c>
      <c r="H10" s="12" t="n">
        <v>8</v>
      </c>
      <c r="I10" s="14" t="inlineStr">
        <is>
          <t>New</t>
        </is>
      </c>
      <c r="J10" s="19" t="n">
        <v>0</v>
      </c>
      <c r="K10" s="19" t="n">
        <v>83464.29000000001</v>
      </c>
    </row>
    <row r="11">
      <c r="A11" s="9" t="inlineStr">
        <is>
          <t>MICHELIN 225/60/R17 PRIMACY 5 103V</t>
        </is>
      </c>
      <c r="B11" s="9" t="n">
        <v>2</v>
      </c>
      <c r="C11" s="9" t="n">
        <v>4</v>
      </c>
      <c r="D11" s="9" t="n">
        <v>2</v>
      </c>
      <c r="E11" s="11" t="n">
        <v>1</v>
      </c>
      <c r="F11" s="9" t="n">
        <v>8</v>
      </c>
      <c r="G11" s="9" t="n">
        <v>16</v>
      </c>
      <c r="H11" s="9" t="n">
        <v>8</v>
      </c>
      <c r="I11" s="11" t="n">
        <v>1</v>
      </c>
      <c r="J11" s="15" t="n">
        <v>77678.57000000001</v>
      </c>
      <c r="K11" s="15" t="n">
        <v>152232.15</v>
      </c>
    </row>
    <row r="12">
      <c r="A12" s="12" t="inlineStr">
        <is>
          <t>MICHELIN 215/55/R18 PRIMACY 5 99V</t>
        </is>
      </c>
      <c r="B12" s="12" t="n">
        <v>1</v>
      </c>
      <c r="C12" s="12" t="n">
        <v>3</v>
      </c>
      <c r="D12" s="12" t="n">
        <v>2</v>
      </c>
      <c r="E12" s="14" t="n">
        <v>2</v>
      </c>
      <c r="F12" s="12" t="n">
        <v>4</v>
      </c>
      <c r="G12" s="12" t="n">
        <v>12</v>
      </c>
      <c r="H12" s="12" t="n">
        <v>8</v>
      </c>
      <c r="I12" s="14" t="n">
        <v>2</v>
      </c>
      <c r="J12" s="19" t="n">
        <v>41071.43</v>
      </c>
      <c r="K12" s="19" t="n">
        <v>120669.64</v>
      </c>
    </row>
    <row r="13">
      <c r="A13" s="9" t="inlineStr">
        <is>
          <t>MICHELIN 225/50/R18 PRIMACY 5 99W</t>
        </is>
      </c>
      <c r="B13" s="9" t="n">
        <v>0</v>
      </c>
      <c r="C13" s="9" t="n">
        <v>2</v>
      </c>
      <c r="D13" s="9" t="n">
        <v>2</v>
      </c>
      <c r="E13" s="11" t="inlineStr">
        <is>
          <t>New</t>
        </is>
      </c>
      <c r="F13" s="9" t="n">
        <v>0</v>
      </c>
      <c r="G13" s="9" t="n">
        <v>8</v>
      </c>
      <c r="H13" s="9" t="n">
        <v>8</v>
      </c>
      <c r="I13" s="11" t="inlineStr">
        <is>
          <t>New</t>
        </is>
      </c>
      <c r="J13" s="15" t="n">
        <v>0</v>
      </c>
      <c r="K13" s="15" t="n">
        <v>74866.08</v>
      </c>
    </row>
    <row r="14">
      <c r="A14" s="12" t="inlineStr">
        <is>
          <t>MICHELIN 215/55/R17 PRIMACY 5 94V</t>
        </is>
      </c>
      <c r="B14" s="12" t="n">
        <v>2</v>
      </c>
      <c r="C14" s="12" t="n">
        <v>4</v>
      </c>
      <c r="D14" s="12" t="n">
        <v>2</v>
      </c>
      <c r="E14" s="14" t="n">
        <v>1</v>
      </c>
      <c r="F14" s="12" t="n">
        <v>8</v>
      </c>
      <c r="G14" s="12" t="n">
        <v>16</v>
      </c>
      <c r="H14" s="12" t="n">
        <v>8</v>
      </c>
      <c r="I14" s="14" t="n">
        <v>1</v>
      </c>
      <c r="J14" s="19" t="n">
        <v>67125</v>
      </c>
      <c r="K14" s="19" t="n">
        <v>128714.29</v>
      </c>
    </row>
    <row r="15">
      <c r="A15" s="9" t="inlineStr">
        <is>
          <t>MICHELIN 205/55/R16 PRIMACY 5 91W</t>
        </is>
      </c>
      <c r="B15" s="9" t="n">
        <v>3</v>
      </c>
      <c r="C15" s="9" t="n">
        <v>5</v>
      </c>
      <c r="D15" s="9" t="n">
        <v>2</v>
      </c>
      <c r="E15" s="11" t="n">
        <v>0.6666666666666667</v>
      </c>
      <c r="F15" s="9" t="n">
        <v>12</v>
      </c>
      <c r="G15" s="9" t="n">
        <v>20</v>
      </c>
      <c r="H15" s="9" t="n">
        <v>8</v>
      </c>
      <c r="I15" s="11" t="n">
        <v>0.6666666666666667</v>
      </c>
      <c r="J15" s="15" t="n">
        <v>65660.72</v>
      </c>
      <c r="K15" s="15" t="n">
        <v>113571.42</v>
      </c>
    </row>
    <row r="16">
      <c r="A16" s="12" t="inlineStr">
        <is>
          <t>MICHELIN 235/45/R18 PRIMACY 5 98Y</t>
        </is>
      </c>
      <c r="B16" s="12" t="n">
        <v>1</v>
      </c>
      <c r="C16" s="12" t="n">
        <v>3</v>
      </c>
      <c r="D16" s="12" t="n">
        <v>2</v>
      </c>
      <c r="E16" s="14" t="n">
        <v>2</v>
      </c>
      <c r="F16" s="12" t="n">
        <v>4</v>
      </c>
      <c r="G16" s="12" t="n">
        <v>12</v>
      </c>
      <c r="H16" s="12" t="n">
        <v>8</v>
      </c>
      <c r="I16" s="14" t="n">
        <v>2</v>
      </c>
      <c r="J16" s="19" t="n">
        <v>36303.57</v>
      </c>
      <c r="K16" s="19" t="n">
        <v>109839.28</v>
      </c>
    </row>
    <row r="17">
      <c r="A17" s="9" t="inlineStr">
        <is>
          <t>MICHELIN 205/60/R16 PRIMACY 5 96W XL</t>
        </is>
      </c>
      <c r="B17" s="9" t="n">
        <v>3</v>
      </c>
      <c r="C17" s="9" t="n">
        <v>5</v>
      </c>
      <c r="D17" s="9" t="n">
        <v>2</v>
      </c>
      <c r="E17" s="11" t="n">
        <v>0.6666666666666667</v>
      </c>
      <c r="F17" s="9" t="n">
        <v>12</v>
      </c>
      <c r="G17" s="9" t="n">
        <v>20</v>
      </c>
      <c r="H17" s="9" t="n">
        <v>8</v>
      </c>
      <c r="I17" s="11" t="n">
        <v>0.6666666666666667</v>
      </c>
      <c r="J17" s="15" t="n">
        <v>73500</v>
      </c>
      <c r="K17" s="15" t="n">
        <v>128392.86</v>
      </c>
    </row>
    <row r="18">
      <c r="A18" s="12" t="inlineStr">
        <is>
          <t>MICHELIN 225/45/ZR17 PILOT SPORT 5 94Y XL TL</t>
        </is>
      </c>
      <c r="B18" s="12" t="n">
        <v>0</v>
      </c>
      <c r="C18" s="12" t="n">
        <v>1</v>
      </c>
      <c r="D18" s="12" t="n">
        <v>1</v>
      </c>
      <c r="E18" s="14" t="inlineStr">
        <is>
          <t>New</t>
        </is>
      </c>
      <c r="F18" s="12" t="n">
        <v>0</v>
      </c>
      <c r="G18" s="12" t="n">
        <v>5</v>
      </c>
      <c r="H18" s="12" t="n">
        <v>5</v>
      </c>
      <c r="I18" s="14" t="inlineStr">
        <is>
          <t>New</t>
        </is>
      </c>
      <c r="J18" s="19" t="n">
        <v>0</v>
      </c>
      <c r="K18" s="19" t="n">
        <v>59857.14</v>
      </c>
    </row>
    <row r="19">
      <c r="A19" s="9" t="inlineStr">
        <is>
          <t>MICHELIN 255/45/ZR19 PILOT SPORT 5 104Y XL TL</t>
        </is>
      </c>
      <c r="B19" s="9" t="n">
        <v>1</v>
      </c>
      <c r="C19" s="9" t="n">
        <v>2</v>
      </c>
      <c r="D19" s="9" t="n">
        <v>1</v>
      </c>
      <c r="E19" s="11" t="n">
        <v>1</v>
      </c>
      <c r="F19" s="9" t="n">
        <v>4</v>
      </c>
      <c r="G19" s="9" t="n">
        <v>8</v>
      </c>
      <c r="H19" s="9" t="n">
        <v>4</v>
      </c>
      <c r="I19" s="11" t="n">
        <v>1</v>
      </c>
      <c r="J19" s="15" t="n">
        <v>50169.64</v>
      </c>
      <c r="K19" s="15" t="n">
        <v>94366.07000000001</v>
      </c>
    </row>
    <row r="20">
      <c r="A20" s="12" t="inlineStr">
        <is>
          <t>MICHELIN 235/40/ZR19 PILOT SPORT 5 96Y XL TL</t>
        </is>
      </c>
      <c r="B20" s="12" t="n">
        <v>0</v>
      </c>
      <c r="C20" s="12" t="n">
        <v>1</v>
      </c>
      <c r="D20" s="12" t="n">
        <v>1</v>
      </c>
      <c r="E20" s="14" t="inlineStr">
        <is>
          <t>New</t>
        </is>
      </c>
      <c r="F20" s="12" t="n">
        <v>0</v>
      </c>
      <c r="G20" s="12" t="n">
        <v>4</v>
      </c>
      <c r="H20" s="12" t="n">
        <v>4</v>
      </c>
      <c r="I20" s="14" t="inlineStr">
        <is>
          <t>New</t>
        </is>
      </c>
      <c r="J20" s="19" t="n">
        <v>0</v>
      </c>
      <c r="K20" s="19" t="n">
        <v>60160.71</v>
      </c>
    </row>
    <row r="21">
      <c r="A21" s="9" t="inlineStr">
        <is>
          <t>MICHELIN 235/45/ZR19 PILOT SPORT 5 99Y</t>
        </is>
      </c>
      <c r="B21" s="9" t="n">
        <v>0</v>
      </c>
      <c r="C21" s="9" t="n">
        <v>1</v>
      </c>
      <c r="D21" s="9" t="n">
        <v>1</v>
      </c>
      <c r="E21" s="11" t="inlineStr">
        <is>
          <t>New</t>
        </is>
      </c>
      <c r="F21" s="9" t="n">
        <v>0</v>
      </c>
      <c r="G21" s="9" t="n">
        <v>4</v>
      </c>
      <c r="H21" s="9" t="n">
        <v>4</v>
      </c>
      <c r="I21" s="11" t="inlineStr">
        <is>
          <t>New</t>
        </is>
      </c>
      <c r="J21" s="15" t="n">
        <v>0</v>
      </c>
      <c r="K21" s="15" t="n">
        <v>55138.39</v>
      </c>
    </row>
    <row r="22">
      <c r="A22" s="12" t="inlineStr">
        <is>
          <t>MICHELIN 245/45/R17 PRIMACY 5 99Y</t>
        </is>
      </c>
      <c r="B22" s="12" t="n">
        <v>0</v>
      </c>
      <c r="C22" s="12" t="n">
        <v>1</v>
      </c>
      <c r="D22" s="12" t="n">
        <v>1</v>
      </c>
      <c r="E22" s="14" t="inlineStr">
        <is>
          <t>New</t>
        </is>
      </c>
      <c r="F22" s="12" t="n">
        <v>0</v>
      </c>
      <c r="G22" s="12" t="n">
        <v>4</v>
      </c>
      <c r="H22" s="12" t="n">
        <v>4</v>
      </c>
      <c r="I22" s="14" t="inlineStr">
        <is>
          <t>New</t>
        </is>
      </c>
      <c r="J22" s="19" t="n">
        <v>0</v>
      </c>
      <c r="K22" s="19" t="n">
        <v>35714.29</v>
      </c>
    </row>
    <row r="23">
      <c r="A23" s="9" t="inlineStr">
        <is>
          <t>MICHELIN 215/50/R17 PRIMACY 5 95W XL</t>
        </is>
      </c>
      <c r="B23" s="9" t="n">
        <v>1</v>
      </c>
      <c r="C23" s="9" t="n">
        <v>2</v>
      </c>
      <c r="D23" s="9" t="n">
        <v>1</v>
      </c>
      <c r="E23" s="11" t="n">
        <v>1</v>
      </c>
      <c r="F23" s="9" t="n">
        <v>4</v>
      </c>
      <c r="G23" s="9" t="n">
        <v>8</v>
      </c>
      <c r="H23" s="9" t="n">
        <v>4</v>
      </c>
      <c r="I23" s="11" t="n">
        <v>1</v>
      </c>
      <c r="J23" s="15" t="n">
        <v>29464.29</v>
      </c>
      <c r="K23" s="15" t="n">
        <v>64008.93</v>
      </c>
    </row>
    <row r="24">
      <c r="A24" s="12" t="inlineStr">
        <is>
          <t>MICHELIN 255/55/R18 PILOT SPORT 4 SUV 109Y XL TL</t>
        </is>
      </c>
      <c r="B24" s="12" t="n">
        <v>0</v>
      </c>
      <c r="C24" s="12" t="n">
        <v>1</v>
      </c>
      <c r="D24" s="12" t="n">
        <v>1</v>
      </c>
      <c r="E24" s="14" t="inlineStr">
        <is>
          <t>New</t>
        </is>
      </c>
      <c r="F24" s="12" t="n">
        <v>0</v>
      </c>
      <c r="G24" s="12" t="n">
        <v>4</v>
      </c>
      <c r="H24" s="12" t="n">
        <v>4</v>
      </c>
      <c r="I24" s="14" t="inlineStr">
        <is>
          <t>New</t>
        </is>
      </c>
      <c r="J24" s="19" t="n">
        <v>0</v>
      </c>
      <c r="K24" s="19" t="n">
        <v>49107.14</v>
      </c>
    </row>
    <row r="25">
      <c r="A25" s="9" t="inlineStr">
        <is>
          <t>MICHELIN 245/50/R19 PILOT SPORT 4 SUV 105W</t>
        </is>
      </c>
      <c r="B25" s="9" t="n">
        <v>0</v>
      </c>
      <c r="C25" s="9" t="n">
        <v>1</v>
      </c>
      <c r="D25" s="9" t="n">
        <v>1</v>
      </c>
      <c r="E25" s="11" t="inlineStr">
        <is>
          <t>New</t>
        </is>
      </c>
      <c r="F25" s="9" t="n">
        <v>0</v>
      </c>
      <c r="G25" s="9" t="n">
        <v>4</v>
      </c>
      <c r="H25" s="9" t="n">
        <v>4</v>
      </c>
      <c r="I25" s="11" t="inlineStr">
        <is>
          <t>New</t>
        </is>
      </c>
      <c r="J25" s="15" t="n">
        <v>0</v>
      </c>
      <c r="K25" s="15" t="n">
        <v>68732.14</v>
      </c>
    </row>
    <row r="26">
      <c r="A26" s="12" t="inlineStr">
        <is>
          <t>MICHELIN 245/35/ZR18 PILOT SPORT 5 92Y</t>
        </is>
      </c>
      <c r="B26" s="12" t="n">
        <v>0</v>
      </c>
      <c r="C26" s="12" t="n">
        <v>1</v>
      </c>
      <c r="D26" s="12" t="n">
        <v>1</v>
      </c>
      <c r="E26" s="14" t="inlineStr">
        <is>
          <t>New</t>
        </is>
      </c>
      <c r="F26" s="12" t="n">
        <v>0</v>
      </c>
      <c r="G26" s="12" t="n">
        <v>4</v>
      </c>
      <c r="H26" s="12" t="n">
        <v>4</v>
      </c>
      <c r="I26" s="14" t="inlineStr">
        <is>
          <t>New</t>
        </is>
      </c>
      <c r="J26" s="19" t="n">
        <v>0</v>
      </c>
      <c r="K26" s="19" t="n">
        <v>55446.43</v>
      </c>
    </row>
    <row r="27">
      <c r="A27" s="9" t="inlineStr">
        <is>
          <t>MICHELIN 265/35/ZR18 PILOT SPORT CUP 2 CONNECT 97Y XL</t>
        </is>
      </c>
      <c r="B27" s="9" t="n">
        <v>0</v>
      </c>
      <c r="C27" s="9" t="n">
        <v>1</v>
      </c>
      <c r="D27" s="9" t="n">
        <v>1</v>
      </c>
      <c r="E27" s="11" t="inlineStr">
        <is>
          <t>New</t>
        </is>
      </c>
      <c r="F27" s="9" t="n">
        <v>0</v>
      </c>
      <c r="G27" s="9" t="n">
        <v>4</v>
      </c>
      <c r="H27" s="9" t="n">
        <v>4</v>
      </c>
      <c r="I27" s="11" t="inlineStr">
        <is>
          <t>New</t>
        </is>
      </c>
      <c r="J27" s="15" t="n">
        <v>0</v>
      </c>
      <c r="K27" s="15" t="n">
        <v>83928.57000000001</v>
      </c>
    </row>
    <row r="28">
      <c r="A28" s="12" t="inlineStr">
        <is>
          <t>MICHELIN 225/45/ZR18 PILOT SPORT 5 95Y XL TL</t>
        </is>
      </c>
      <c r="B28" s="12" t="n">
        <v>1</v>
      </c>
      <c r="C28" s="12" t="n">
        <v>2</v>
      </c>
      <c r="D28" s="12" t="n">
        <v>1</v>
      </c>
      <c r="E28" s="14" t="n">
        <v>1</v>
      </c>
      <c r="F28" s="12" t="n">
        <v>4</v>
      </c>
      <c r="G28" s="12" t="n">
        <v>8</v>
      </c>
      <c r="H28" s="12" t="n">
        <v>4</v>
      </c>
      <c r="I28" s="14" t="n">
        <v>1</v>
      </c>
      <c r="J28" s="19" t="n">
        <v>42723.21</v>
      </c>
      <c r="K28" s="19" t="n">
        <v>80089.28</v>
      </c>
    </row>
    <row r="29">
      <c r="A29" s="9" t="inlineStr">
        <is>
          <t>MICHELIN 255/40/ZR19 PILOT SPORT 5 100Y</t>
        </is>
      </c>
      <c r="B29" s="9" t="n">
        <v>2</v>
      </c>
      <c r="C29" s="9" t="n">
        <v>3</v>
      </c>
      <c r="D29" s="9" t="n">
        <v>1</v>
      </c>
      <c r="E29" s="11" t="n">
        <v>0.5</v>
      </c>
      <c r="F29" s="9" t="n">
        <v>8</v>
      </c>
      <c r="G29" s="9" t="n">
        <v>12</v>
      </c>
      <c r="H29" s="9" t="n">
        <v>4</v>
      </c>
      <c r="I29" s="11" t="n">
        <v>0.5</v>
      </c>
      <c r="J29" s="15" t="n">
        <v>109495.53</v>
      </c>
      <c r="K29" s="15" t="n">
        <v>128642.86</v>
      </c>
    </row>
    <row r="30">
      <c r="A30" s="12" t="inlineStr">
        <is>
          <t>MICHELIN 285/45/R22 PILOT SPORT 4 SUV 114Y</t>
        </is>
      </c>
      <c r="B30" s="12" t="n">
        <v>0</v>
      </c>
      <c r="C30" s="12" t="n">
        <v>1</v>
      </c>
      <c r="D30" s="12" t="n">
        <v>1</v>
      </c>
      <c r="E30" s="14" t="inlineStr">
        <is>
          <t>New</t>
        </is>
      </c>
      <c r="F30" s="12" t="n">
        <v>0</v>
      </c>
      <c r="G30" s="12" t="n">
        <v>4</v>
      </c>
      <c r="H30" s="12" t="n">
        <v>4</v>
      </c>
      <c r="I30" s="14" t="inlineStr">
        <is>
          <t>New</t>
        </is>
      </c>
      <c r="J30" s="19" t="n">
        <v>0</v>
      </c>
      <c r="K30" s="19" t="n">
        <v>101196.43</v>
      </c>
    </row>
    <row r="31">
      <c r="A31" s="9" t="inlineStr">
        <is>
          <t>MICHELIN 225/55/R19 PILOT SPORT 4 SUV 99V</t>
        </is>
      </c>
      <c r="B31" s="9" t="n">
        <v>0</v>
      </c>
      <c r="C31" s="9" t="n">
        <v>1</v>
      </c>
      <c r="D31" s="9" t="n">
        <v>1</v>
      </c>
      <c r="E31" s="11" t="inlineStr">
        <is>
          <t>New</t>
        </is>
      </c>
      <c r="F31" s="9" t="n">
        <v>0</v>
      </c>
      <c r="G31" s="9" t="n">
        <v>4</v>
      </c>
      <c r="H31" s="9" t="n">
        <v>4</v>
      </c>
      <c r="I31" s="11" t="inlineStr">
        <is>
          <t>New</t>
        </is>
      </c>
      <c r="J31" s="15" t="n">
        <v>0</v>
      </c>
      <c r="K31" s="15" t="n">
        <v>53357.14</v>
      </c>
    </row>
    <row r="32">
      <c r="A32" s="12" t="inlineStr">
        <is>
          <t>MICHELIN 245/40/ZR18 PILOT SPORT 5 97Y XL TL</t>
        </is>
      </c>
      <c r="B32" s="12" t="n">
        <v>1</v>
      </c>
      <c r="C32" s="12" t="n">
        <v>2</v>
      </c>
      <c r="D32" s="12" t="n">
        <v>1</v>
      </c>
      <c r="E32" s="14" t="n">
        <v>1</v>
      </c>
      <c r="F32" s="12" t="n">
        <v>4</v>
      </c>
      <c r="G32" s="12" t="n">
        <v>8</v>
      </c>
      <c r="H32" s="12" t="n">
        <v>4</v>
      </c>
      <c r="I32" s="14" t="n">
        <v>1</v>
      </c>
      <c r="J32" s="19" t="n">
        <v>39419.64</v>
      </c>
      <c r="K32" s="19" t="n">
        <v>79553.57000000001</v>
      </c>
    </row>
    <row r="33">
      <c r="A33" s="9" t="inlineStr">
        <is>
          <t>MICHELIN 245/35/ZR19 PILOT SPORT 5 93Y XL TL</t>
        </is>
      </c>
      <c r="B33" s="9" t="n">
        <v>0</v>
      </c>
      <c r="C33" s="9" t="n">
        <v>1</v>
      </c>
      <c r="D33" s="9" t="n">
        <v>1</v>
      </c>
      <c r="E33" s="11" t="inlineStr">
        <is>
          <t>New</t>
        </is>
      </c>
      <c r="F33" s="9" t="n">
        <v>0</v>
      </c>
      <c r="G33" s="9" t="n">
        <v>4</v>
      </c>
      <c r="H33" s="9" t="n">
        <v>4</v>
      </c>
      <c r="I33" s="11" t="inlineStr">
        <is>
          <t>New</t>
        </is>
      </c>
      <c r="J33" s="15" t="n">
        <v>0</v>
      </c>
      <c r="K33" s="15" t="n">
        <v>53571.43</v>
      </c>
    </row>
    <row r="34">
      <c r="A34" s="12" t="inlineStr">
        <is>
          <t>MICHELIN 205/45/R17 PILOT SPORT 5 88Y</t>
        </is>
      </c>
      <c r="B34" s="12" t="n">
        <v>1</v>
      </c>
      <c r="C34" s="12" t="n">
        <v>2</v>
      </c>
      <c r="D34" s="12" t="n">
        <v>1</v>
      </c>
      <c r="E34" s="14" t="n">
        <v>1</v>
      </c>
      <c r="F34" s="12" t="n">
        <v>4</v>
      </c>
      <c r="G34" s="12" t="n">
        <v>8</v>
      </c>
      <c r="H34" s="12" t="n">
        <v>4</v>
      </c>
      <c r="I34" s="14" t="n">
        <v>1</v>
      </c>
      <c r="J34" s="19" t="n">
        <v>33696.43</v>
      </c>
      <c r="K34" s="19" t="n">
        <v>70517.86</v>
      </c>
    </row>
    <row r="35">
      <c r="A35" s="9" t="inlineStr">
        <is>
          <t>MICHELIN 255/55/R18 LATITUDE SPORT 3 ZP 109V</t>
        </is>
      </c>
      <c r="B35" s="9" t="n">
        <v>0</v>
      </c>
      <c r="C35" s="9" t="n">
        <v>1</v>
      </c>
      <c r="D35" s="9" t="n">
        <v>1</v>
      </c>
      <c r="E35" s="11" t="inlineStr">
        <is>
          <t>New</t>
        </is>
      </c>
      <c r="F35" s="9" t="n">
        <v>0</v>
      </c>
      <c r="G35" s="9" t="n">
        <v>4</v>
      </c>
      <c r="H35" s="9" t="n">
        <v>4</v>
      </c>
      <c r="I35" s="11" t="inlineStr">
        <is>
          <t>New</t>
        </is>
      </c>
      <c r="J35" s="15" t="n">
        <v>0</v>
      </c>
      <c r="K35" s="15" t="n">
        <v>68678.57000000001</v>
      </c>
    </row>
    <row r="36">
      <c r="A36" s="12" t="inlineStr">
        <is>
          <t>MICHELIN 265/50/R20 PILOT SPORT 4 SUV 107V</t>
        </is>
      </c>
      <c r="B36" s="12" t="n">
        <v>1</v>
      </c>
      <c r="C36" s="12" t="n">
        <v>2</v>
      </c>
      <c r="D36" s="12" t="n">
        <v>1</v>
      </c>
      <c r="E36" s="14" t="n">
        <v>1</v>
      </c>
      <c r="F36" s="12" t="n">
        <v>4</v>
      </c>
      <c r="G36" s="12" t="n">
        <v>8</v>
      </c>
      <c r="H36" s="12" t="n">
        <v>4</v>
      </c>
      <c r="I36" s="14" t="n">
        <v>1</v>
      </c>
      <c r="J36" s="19" t="n">
        <v>42776.79</v>
      </c>
      <c r="K36" s="19" t="n">
        <v>80642.86</v>
      </c>
    </row>
    <row r="37">
      <c r="A37" s="9" t="inlineStr">
        <is>
          <t>MICHELIN 225/45/R18 PRIMACY 5 95Y</t>
        </is>
      </c>
      <c r="B37" s="9" t="n">
        <v>0</v>
      </c>
      <c r="C37" s="9" t="n">
        <v>1</v>
      </c>
      <c r="D37" s="9" t="n">
        <v>1</v>
      </c>
      <c r="E37" s="11" t="inlineStr">
        <is>
          <t>New</t>
        </is>
      </c>
      <c r="F37" s="9" t="n">
        <v>0</v>
      </c>
      <c r="G37" s="9" t="n">
        <v>4</v>
      </c>
      <c r="H37" s="9" t="n">
        <v>4</v>
      </c>
      <c r="I37" s="11" t="inlineStr">
        <is>
          <t>New</t>
        </is>
      </c>
      <c r="J37" s="15" t="n">
        <v>0</v>
      </c>
      <c r="K37" s="15" t="n">
        <v>33571.43</v>
      </c>
    </row>
    <row r="38">
      <c r="A38" s="12" t="inlineStr">
        <is>
          <t>MICHELIN 235/50/R18 PRIMACY 5 97W</t>
        </is>
      </c>
      <c r="B38" s="12" t="n">
        <v>2</v>
      </c>
      <c r="C38" s="12" t="n">
        <v>3</v>
      </c>
      <c r="D38" s="12" t="n">
        <v>1</v>
      </c>
      <c r="E38" s="14" t="n">
        <v>0.5</v>
      </c>
      <c r="F38" s="12" t="n">
        <v>8</v>
      </c>
      <c r="G38" s="12" t="n">
        <v>12</v>
      </c>
      <c r="H38" s="12" t="n">
        <v>4</v>
      </c>
      <c r="I38" s="14" t="n">
        <v>0.5</v>
      </c>
      <c r="J38" s="19" t="n">
        <v>76745.54000000001</v>
      </c>
      <c r="K38" s="19" t="n">
        <v>115325.9</v>
      </c>
    </row>
    <row r="39">
      <c r="A39" s="9" t="inlineStr">
        <is>
          <t>MICHELIN 245/45/ZR19 PILOT SPORT 5 102Y XL TL</t>
        </is>
      </c>
      <c r="B39" s="9" t="n">
        <v>0</v>
      </c>
      <c r="C39" s="9" t="n">
        <v>1</v>
      </c>
      <c r="D39" s="9" t="n">
        <v>1</v>
      </c>
      <c r="E39" s="11" t="inlineStr">
        <is>
          <t>New</t>
        </is>
      </c>
      <c r="F39" s="9" t="n">
        <v>0</v>
      </c>
      <c r="G39" s="9" t="n">
        <v>4</v>
      </c>
      <c r="H39" s="9" t="n">
        <v>4</v>
      </c>
      <c r="I39" s="11" t="inlineStr">
        <is>
          <t>New</t>
        </is>
      </c>
      <c r="J39" s="15" t="n">
        <v>0</v>
      </c>
      <c r="K39" s="15" t="n">
        <v>54830.36</v>
      </c>
    </row>
    <row r="40">
      <c r="A40" s="12" t="inlineStr">
        <is>
          <t>MICHELIN 225/40/ZR18 PILOT SPORT 5 92Y XL TL</t>
        </is>
      </c>
      <c r="B40" s="12" t="n">
        <v>0</v>
      </c>
      <c r="C40" s="12" t="n">
        <v>1</v>
      </c>
      <c r="D40" s="12" t="n">
        <v>1</v>
      </c>
      <c r="E40" s="14" t="inlineStr">
        <is>
          <t>New</t>
        </is>
      </c>
      <c r="F40" s="12" t="n">
        <v>0</v>
      </c>
      <c r="G40" s="12" t="n">
        <v>4</v>
      </c>
      <c r="H40" s="12" t="n">
        <v>4</v>
      </c>
      <c r="I40" s="14" t="inlineStr">
        <is>
          <t>New</t>
        </is>
      </c>
      <c r="J40" s="19" t="n">
        <v>0</v>
      </c>
      <c r="K40" s="19" t="n">
        <v>41852.68</v>
      </c>
    </row>
    <row r="41">
      <c r="A41" s="9" t="inlineStr">
        <is>
          <t>MICHELIN 215/65/R16 PRIMACY 5 102V XL</t>
        </is>
      </c>
      <c r="B41" s="9" t="n">
        <v>0</v>
      </c>
      <c r="C41" s="9" t="n">
        <v>1</v>
      </c>
      <c r="D41" s="9" t="n">
        <v>1</v>
      </c>
      <c r="E41" s="11" t="inlineStr">
        <is>
          <t>New</t>
        </is>
      </c>
      <c r="F41" s="9" t="n">
        <v>0</v>
      </c>
      <c r="G41" s="9" t="n">
        <v>4</v>
      </c>
      <c r="H41" s="9" t="n">
        <v>4</v>
      </c>
      <c r="I41" s="11" t="inlineStr">
        <is>
          <t>New</t>
        </is>
      </c>
      <c r="J41" s="15" t="n">
        <v>0</v>
      </c>
      <c r="K41" s="15" t="n">
        <v>26339.29</v>
      </c>
    </row>
    <row r="42">
      <c r="A42" s="12" t="inlineStr">
        <is>
          <t>MICHELIN 305/40/R20 PILOT SPORT 4 SUV 112Y</t>
        </is>
      </c>
      <c r="B42" s="12" t="n">
        <v>1</v>
      </c>
      <c r="C42" s="12" t="n">
        <v>1</v>
      </c>
      <c r="D42" s="12" t="n">
        <v>0</v>
      </c>
      <c r="E42" s="14" t="n">
        <v>0</v>
      </c>
      <c r="F42" s="12" t="n">
        <v>4</v>
      </c>
      <c r="G42" s="12" t="n">
        <v>4</v>
      </c>
      <c r="H42" s="12" t="n">
        <v>0</v>
      </c>
      <c r="I42" s="14" t="n">
        <v>0</v>
      </c>
      <c r="J42" s="19" t="n">
        <v>81940.17999999999</v>
      </c>
      <c r="K42" s="19" t="n">
        <v>85098.21000000001</v>
      </c>
    </row>
    <row r="43">
      <c r="A43" s="9" t="inlineStr">
        <is>
          <t>MICHELIN 205/50/ZR16 PILOT SPORT 4 ST 91W XL TL</t>
        </is>
      </c>
      <c r="B43" s="9" t="n">
        <v>1</v>
      </c>
      <c r="C43" s="9" t="n">
        <v>1</v>
      </c>
      <c r="D43" s="9" t="n">
        <v>0</v>
      </c>
      <c r="E43" s="11" t="n">
        <v>0</v>
      </c>
      <c r="F43" s="9" t="n">
        <v>4</v>
      </c>
      <c r="G43" s="9" t="n">
        <v>4</v>
      </c>
      <c r="H43" s="9" t="n">
        <v>0</v>
      </c>
      <c r="I43" s="11" t="n">
        <v>0</v>
      </c>
      <c r="J43" s="15" t="n">
        <v>27991.07</v>
      </c>
      <c r="K43" s="15" t="n">
        <v>27901.79</v>
      </c>
    </row>
    <row r="44">
      <c r="A44" s="12" t="inlineStr">
        <is>
          <t>MICHELIN 205/65/R16 PRIMACY 5 95W</t>
        </is>
      </c>
      <c r="B44" s="12" t="n">
        <v>5</v>
      </c>
      <c r="C44" s="12" t="n">
        <v>5</v>
      </c>
      <c r="D44" s="12" t="n">
        <v>0</v>
      </c>
      <c r="E44" s="14" t="n">
        <v>0</v>
      </c>
      <c r="F44" s="12" t="n">
        <v>20</v>
      </c>
      <c r="G44" s="12" t="n">
        <v>20</v>
      </c>
      <c r="H44" s="12" t="n">
        <v>0</v>
      </c>
      <c r="I44" s="14" t="n">
        <v>0</v>
      </c>
      <c r="J44" s="19" t="n">
        <v>105964.29</v>
      </c>
      <c r="K44" s="19" t="n">
        <v>109357.14</v>
      </c>
    </row>
    <row r="45">
      <c r="A45" s="9" t="inlineStr">
        <is>
          <t>MICHELIN 225/55/R17 PRIMACY 5 101W</t>
        </is>
      </c>
      <c r="B45" s="9" t="n">
        <v>1</v>
      </c>
      <c r="C45" s="9" t="n">
        <v>1</v>
      </c>
      <c r="D45" s="9" t="n">
        <v>0</v>
      </c>
      <c r="E45" s="11" t="n">
        <v>0</v>
      </c>
      <c r="F45" s="9" t="n">
        <v>4</v>
      </c>
      <c r="G45" s="9" t="n">
        <v>4</v>
      </c>
      <c r="H45" s="9" t="n">
        <v>0</v>
      </c>
      <c r="I45" s="11" t="n">
        <v>0</v>
      </c>
      <c r="J45" s="15" t="n">
        <v>33187.5</v>
      </c>
      <c r="K45" s="15" t="n">
        <v>33991.07</v>
      </c>
    </row>
    <row r="46">
      <c r="A46" s="12" t="inlineStr">
        <is>
          <t>MICHELIN 235/50/R20 PILOT SPORT 4 SUV JLR 104Y XL TL</t>
        </is>
      </c>
      <c r="B46" s="12" t="n">
        <v>1</v>
      </c>
      <c r="C46" s="12" t="n">
        <v>0</v>
      </c>
      <c r="D46" s="12" t="n">
        <v>-1</v>
      </c>
      <c r="E46" s="14" t="n">
        <v>-1</v>
      </c>
      <c r="F46" s="12" t="n">
        <v>4</v>
      </c>
      <c r="G46" s="12" t="n">
        <v>0</v>
      </c>
      <c r="H46" s="12" t="n">
        <v>-4</v>
      </c>
      <c r="I46" s="14" t="n">
        <v>-1</v>
      </c>
      <c r="J46" s="19" t="n">
        <v>66071.42999999999</v>
      </c>
      <c r="K46" s="19" t="n">
        <v>0</v>
      </c>
    </row>
    <row r="47">
      <c r="A47" s="9" t="inlineStr">
        <is>
          <t>MICHELIN 245/35/ZR20 PILOT SPORT 5 95Y</t>
        </is>
      </c>
      <c r="B47" s="9" t="n">
        <v>1</v>
      </c>
      <c r="C47" s="9" t="n">
        <v>0</v>
      </c>
      <c r="D47" s="9" t="n">
        <v>-1</v>
      </c>
      <c r="E47" s="11" t="n">
        <v>-1</v>
      </c>
      <c r="F47" s="9" t="n">
        <v>4</v>
      </c>
      <c r="G47" s="9" t="n">
        <v>0</v>
      </c>
      <c r="H47" s="9" t="n">
        <v>-4</v>
      </c>
      <c r="I47" s="11" t="n">
        <v>-1</v>
      </c>
      <c r="J47" s="15" t="n">
        <v>62500</v>
      </c>
      <c r="K47" s="15" t="n">
        <v>0</v>
      </c>
    </row>
    <row r="48">
      <c r="A48" s="12" t="inlineStr">
        <is>
          <t>MICHELIN 245/45/R19 PRIMACY 5 102W</t>
        </is>
      </c>
      <c r="B48" s="12" t="n">
        <v>1</v>
      </c>
      <c r="C48" s="12" t="n">
        <v>0</v>
      </c>
      <c r="D48" s="12" t="n">
        <v>-1</v>
      </c>
      <c r="E48" s="14" t="n">
        <v>-1</v>
      </c>
      <c r="F48" s="12" t="n">
        <v>4</v>
      </c>
      <c r="G48" s="12" t="n">
        <v>0</v>
      </c>
      <c r="H48" s="12" t="n">
        <v>-4</v>
      </c>
      <c r="I48" s="14" t="n">
        <v>-1</v>
      </c>
      <c r="J48" s="19" t="n">
        <v>49406.25</v>
      </c>
      <c r="K48" s="19" t="n">
        <v>0</v>
      </c>
    </row>
    <row r="49">
      <c r="A49" s="9" t="inlineStr">
        <is>
          <t>MICHELIN 235/45/R17 PRIMACY 5 97W</t>
        </is>
      </c>
      <c r="B49" s="9" t="n">
        <v>1</v>
      </c>
      <c r="C49" s="9" t="n">
        <v>0</v>
      </c>
      <c r="D49" s="9" t="n">
        <v>-1</v>
      </c>
      <c r="E49" s="11" t="n">
        <v>-1</v>
      </c>
      <c r="F49" s="9" t="n">
        <v>4</v>
      </c>
      <c r="G49" s="9" t="n">
        <v>0</v>
      </c>
      <c r="H49" s="9" t="n">
        <v>-4</v>
      </c>
      <c r="I49" s="11" t="n">
        <v>-1</v>
      </c>
      <c r="J49" s="15" t="n">
        <v>35642.86</v>
      </c>
      <c r="K49" s="15" t="n">
        <v>0</v>
      </c>
    </row>
    <row r="50">
      <c r="A50" s="12" t="inlineStr">
        <is>
          <t>MICHELIN 275/50/ZR20 PILOT SPORT 4 SUV 113Y</t>
        </is>
      </c>
      <c r="B50" s="12" t="n">
        <v>1</v>
      </c>
      <c r="C50" s="12" t="n">
        <v>0</v>
      </c>
      <c r="D50" s="12" t="n">
        <v>-1</v>
      </c>
      <c r="E50" s="14" t="n">
        <v>-1</v>
      </c>
      <c r="F50" s="12" t="n">
        <v>4</v>
      </c>
      <c r="G50" s="12" t="n">
        <v>0</v>
      </c>
      <c r="H50" s="12" t="n">
        <v>-4</v>
      </c>
      <c r="I50" s="14" t="n">
        <v>-1</v>
      </c>
      <c r="J50" s="19" t="n">
        <v>86071.42999999999</v>
      </c>
      <c r="K50" s="19" t="n">
        <v>0</v>
      </c>
    </row>
    <row r="51">
      <c r="A51" s="9" t="inlineStr">
        <is>
          <t>MICHELIN 235/60/R18 PILOT SPORT 4 SUV 107W</t>
        </is>
      </c>
      <c r="B51" s="9" t="n">
        <v>1</v>
      </c>
      <c r="C51" s="9" t="n">
        <v>0</v>
      </c>
      <c r="D51" s="9" t="n">
        <v>-1</v>
      </c>
      <c r="E51" s="11" t="n">
        <v>-1</v>
      </c>
      <c r="F51" s="9" t="n">
        <v>4</v>
      </c>
      <c r="G51" s="9" t="n">
        <v>0</v>
      </c>
      <c r="H51" s="9" t="n">
        <v>-4</v>
      </c>
      <c r="I51" s="11" t="n">
        <v>-1</v>
      </c>
      <c r="J51" s="15" t="n">
        <v>45160.71</v>
      </c>
      <c r="K51" s="15" t="n">
        <v>0</v>
      </c>
    </row>
    <row r="52">
      <c r="A52" s="12" t="inlineStr">
        <is>
          <t>MICHELIN 245/45/R20 PILOT SPORT 4 SUV FRV 103V XL TL</t>
        </is>
      </c>
      <c r="B52" s="12" t="n">
        <v>1</v>
      </c>
      <c r="C52" s="12" t="n">
        <v>0</v>
      </c>
      <c r="D52" s="12" t="n">
        <v>-1</v>
      </c>
      <c r="E52" s="14" t="n">
        <v>-1</v>
      </c>
      <c r="F52" s="12" t="n">
        <v>4</v>
      </c>
      <c r="G52" s="12" t="n">
        <v>0</v>
      </c>
      <c r="H52" s="12" t="n">
        <v>-4</v>
      </c>
      <c r="I52" s="14" t="n">
        <v>-1</v>
      </c>
      <c r="J52" s="19" t="n">
        <v>46794.64</v>
      </c>
      <c r="K52" s="19" t="n">
        <v>0</v>
      </c>
    </row>
    <row r="53">
      <c r="A53" s="9" t="inlineStr">
        <is>
          <t>MICHELIN 235/55/R17 PRIMACY 5 103W</t>
        </is>
      </c>
      <c r="B53" s="9" t="n">
        <v>1</v>
      </c>
      <c r="C53" s="9" t="n">
        <v>0</v>
      </c>
      <c r="D53" s="9" t="n">
        <v>-1</v>
      </c>
      <c r="E53" s="11" t="n">
        <v>-1</v>
      </c>
      <c r="F53" s="9" t="n">
        <v>4</v>
      </c>
      <c r="G53" s="9" t="n">
        <v>0</v>
      </c>
      <c r="H53" s="9" t="n">
        <v>-4</v>
      </c>
      <c r="I53" s="11" t="n">
        <v>-1</v>
      </c>
      <c r="J53" s="15" t="n">
        <v>35651.79</v>
      </c>
      <c r="K53" s="15" t="n">
        <v>0</v>
      </c>
    </row>
    <row r="54">
      <c r="A54" s="12" t="inlineStr">
        <is>
          <t>MICHELIN 245/40/ZR19 PILOT SPORT 5 98Y</t>
        </is>
      </c>
      <c r="B54" s="12" t="n">
        <v>2</v>
      </c>
      <c r="C54" s="12" t="n">
        <v>1</v>
      </c>
      <c r="D54" s="12" t="n">
        <v>-1</v>
      </c>
      <c r="E54" s="14" t="n">
        <v>-0.5</v>
      </c>
      <c r="F54" s="12" t="n">
        <v>8</v>
      </c>
      <c r="G54" s="12" t="n">
        <v>4</v>
      </c>
      <c r="H54" s="12" t="n">
        <v>-4</v>
      </c>
      <c r="I54" s="14" t="n">
        <v>-0.5</v>
      </c>
      <c r="J54" s="19" t="n">
        <v>102232.14</v>
      </c>
      <c r="K54" s="19" t="n">
        <v>44678.57</v>
      </c>
    </row>
    <row r="55">
      <c r="A55" s="9" t="inlineStr">
        <is>
          <t>MICHELIN 235/50/R19 PILOT SPORT 4 SUV S1 99V</t>
        </is>
      </c>
      <c r="B55" s="9" t="n">
        <v>2</v>
      </c>
      <c r="C55" s="9" t="n">
        <v>1</v>
      </c>
      <c r="D55" s="9" t="n">
        <v>-1</v>
      </c>
      <c r="E55" s="11" t="n">
        <v>-0.5</v>
      </c>
      <c r="F55" s="9" t="n">
        <v>8</v>
      </c>
      <c r="G55" s="9" t="n">
        <v>4</v>
      </c>
      <c r="H55" s="9" t="n">
        <v>-4</v>
      </c>
      <c r="I55" s="11" t="n">
        <v>-0.5</v>
      </c>
      <c r="J55" s="15" t="n">
        <v>112071.42</v>
      </c>
      <c r="K55" s="15" t="n">
        <v>52821.43</v>
      </c>
    </row>
    <row r="56">
      <c r="A56" s="12" t="inlineStr">
        <is>
          <t>MICHELIN 235/55/R19 PILOT SPORT 4 SUV 105Y</t>
        </is>
      </c>
      <c r="B56" s="12" t="n">
        <v>2</v>
      </c>
      <c r="C56" s="12" t="n">
        <v>1</v>
      </c>
      <c r="D56" s="12" t="n">
        <v>-1</v>
      </c>
      <c r="E56" s="14" t="n">
        <v>-0.5</v>
      </c>
      <c r="F56" s="12" t="n">
        <v>8</v>
      </c>
      <c r="G56" s="12" t="n">
        <v>4</v>
      </c>
      <c r="H56" s="12" t="n">
        <v>-4</v>
      </c>
      <c r="I56" s="14" t="n">
        <v>-0.5</v>
      </c>
      <c r="J56" s="19" t="n">
        <v>114285.71</v>
      </c>
      <c r="K56" s="19" t="n">
        <v>59209.82</v>
      </c>
    </row>
    <row r="57">
      <c r="A57" s="9" t="inlineStr">
        <is>
          <t>MICHELIN 255/50/R19 LATITUDE SPORT 3 ZP 107W</t>
        </is>
      </c>
      <c r="B57" s="9" t="n">
        <v>1</v>
      </c>
      <c r="C57" s="9" t="n">
        <v>0</v>
      </c>
      <c r="D57" s="9" t="n">
        <v>-1</v>
      </c>
      <c r="E57" s="11" t="n">
        <v>-1</v>
      </c>
      <c r="F57" s="9" t="n">
        <v>4</v>
      </c>
      <c r="G57" s="9" t="n">
        <v>0</v>
      </c>
      <c r="H57" s="9" t="n">
        <v>-4</v>
      </c>
      <c r="I57" s="11" t="n">
        <v>-1</v>
      </c>
      <c r="J57" s="15" t="n">
        <v>58035.71</v>
      </c>
      <c r="K57" s="15" t="n">
        <v>0</v>
      </c>
    </row>
    <row r="58">
      <c r="A58" s="12" t="inlineStr">
        <is>
          <t>MICHELIN 225/45/ZR19 PILOT SPORT 5 96Y XL TL</t>
        </is>
      </c>
      <c r="B58" s="12" t="n">
        <v>1</v>
      </c>
      <c r="C58" s="12" t="n">
        <v>0</v>
      </c>
      <c r="D58" s="12" t="n">
        <v>-1</v>
      </c>
      <c r="E58" s="14" t="n">
        <v>-1</v>
      </c>
      <c r="F58" s="12" t="n">
        <v>4</v>
      </c>
      <c r="G58" s="12" t="n">
        <v>0</v>
      </c>
      <c r="H58" s="12" t="n">
        <v>-4</v>
      </c>
      <c r="I58" s="14" t="n">
        <v>-1</v>
      </c>
      <c r="J58" s="19" t="n">
        <v>54174.11</v>
      </c>
      <c r="K58" s="19" t="n">
        <v>0</v>
      </c>
    </row>
    <row r="59">
      <c r="A59" s="9" t="inlineStr">
        <is>
          <t>MICHELIN 255/50/R20 PILOT SPORT 4 SUV 109Y</t>
        </is>
      </c>
      <c r="B59" s="9" t="n">
        <v>1</v>
      </c>
      <c r="C59" s="9" t="n">
        <v>0</v>
      </c>
      <c r="D59" s="9" t="n">
        <v>-1</v>
      </c>
      <c r="E59" s="11" t="n">
        <v>-1</v>
      </c>
      <c r="F59" s="9" t="n">
        <v>4</v>
      </c>
      <c r="G59" s="9" t="n">
        <v>0</v>
      </c>
      <c r="H59" s="9" t="n">
        <v>-4</v>
      </c>
      <c r="I59" s="11" t="n">
        <v>-1</v>
      </c>
      <c r="J59" s="15" t="n">
        <v>64285.71</v>
      </c>
      <c r="K59" s="15" t="n">
        <v>0</v>
      </c>
    </row>
    <row r="60">
      <c r="A60" s="12" t="inlineStr">
        <is>
          <t>MICHELIN 225/45/R17 PRIMACY 5 94W XL</t>
        </is>
      </c>
      <c r="B60" s="12" t="n">
        <v>2</v>
      </c>
      <c r="C60" s="12" t="n">
        <v>1</v>
      </c>
      <c r="D60" s="12" t="n">
        <v>-1</v>
      </c>
      <c r="E60" s="14" t="n">
        <v>-0.5</v>
      </c>
      <c r="F60" s="12" t="n">
        <v>8</v>
      </c>
      <c r="G60" s="12" t="n">
        <v>4</v>
      </c>
      <c r="H60" s="12" t="n">
        <v>-4</v>
      </c>
      <c r="I60" s="14" t="n">
        <v>-0.5</v>
      </c>
      <c r="J60" s="19" t="n">
        <v>64312.5</v>
      </c>
      <c r="K60" s="19" t="n">
        <v>31017.86</v>
      </c>
    </row>
    <row r="61">
      <c r="A61" s="9" t="inlineStr">
        <is>
          <t>MICHELIN 235/40/ZR18 PILOT SPORT 5 95Y XL TL</t>
        </is>
      </c>
      <c r="B61" s="9" t="n">
        <v>2</v>
      </c>
      <c r="C61" s="9" t="n">
        <v>1</v>
      </c>
      <c r="D61" s="9" t="n">
        <v>-1</v>
      </c>
      <c r="E61" s="11" t="n">
        <v>-0.5</v>
      </c>
      <c r="F61" s="9" t="n">
        <v>8</v>
      </c>
      <c r="G61" s="9" t="n">
        <v>4</v>
      </c>
      <c r="H61" s="9" t="n">
        <v>-4</v>
      </c>
      <c r="I61" s="11" t="n">
        <v>-0.5</v>
      </c>
      <c r="J61" s="15" t="n">
        <v>92919.64</v>
      </c>
      <c r="K61" s="15" t="n">
        <v>43513.39</v>
      </c>
    </row>
    <row r="62">
      <c r="A62" s="12" t="inlineStr">
        <is>
          <t>MICHELIN 235/55/R18 PRIMACY 5 104W</t>
        </is>
      </c>
      <c r="B62" s="12" t="n">
        <v>4</v>
      </c>
      <c r="C62" s="12" t="n">
        <v>2</v>
      </c>
      <c r="D62" s="12" t="n">
        <v>-2</v>
      </c>
      <c r="E62" s="14" t="n">
        <v>-0.5</v>
      </c>
      <c r="F62" s="12" t="n">
        <v>16</v>
      </c>
      <c r="G62" s="12" t="n">
        <v>8</v>
      </c>
      <c r="H62" s="12" t="n">
        <v>-8</v>
      </c>
      <c r="I62" s="14" t="n">
        <v>-0.5</v>
      </c>
      <c r="J62" s="19" t="n">
        <v>145799.11</v>
      </c>
      <c r="K62" s="19" t="n">
        <v>71633.92</v>
      </c>
    </row>
    <row r="63">
      <c r="A63" s="9" t="inlineStr">
        <is>
          <t>MICHELIN 235/45/ZR18 PILOT SPORT 5 98Y XL TL</t>
        </is>
      </c>
      <c r="B63" s="9" t="n">
        <v>2</v>
      </c>
      <c r="C63" s="9" t="n">
        <v>0</v>
      </c>
      <c r="D63" s="9" t="n">
        <v>-2</v>
      </c>
      <c r="E63" s="11" t="n">
        <v>-1</v>
      </c>
      <c r="F63" s="9" t="n">
        <v>8</v>
      </c>
      <c r="G63" s="9" t="n">
        <v>0</v>
      </c>
      <c r="H63" s="9" t="n">
        <v>-8</v>
      </c>
      <c r="I63" s="11" t="n">
        <v>-1</v>
      </c>
      <c r="J63" s="15" t="n">
        <v>79303.57000000001</v>
      </c>
      <c r="K63" s="15" t="n">
        <v>0</v>
      </c>
    </row>
    <row r="64">
      <c r="A64" s="12" t="inlineStr">
        <is>
          <t>MICHELIN 235/50/R19 PRIMACY 5 103W</t>
        </is>
      </c>
      <c r="B64" s="12" t="n">
        <v>6</v>
      </c>
      <c r="C64" s="12" t="n">
        <v>4</v>
      </c>
      <c r="D64" s="12" t="n">
        <v>-2</v>
      </c>
      <c r="E64" s="14" t="n">
        <v>-0.3333333333333334</v>
      </c>
      <c r="F64" s="12" t="n">
        <v>24</v>
      </c>
      <c r="G64" s="12" t="n">
        <v>16</v>
      </c>
      <c r="H64" s="12" t="n">
        <v>-8</v>
      </c>
      <c r="I64" s="14" t="n">
        <v>-0.3333333333333334</v>
      </c>
      <c r="J64" s="19" t="n">
        <v>271517.86</v>
      </c>
      <c r="K64" s="19" t="n">
        <v>176205.36</v>
      </c>
    </row>
    <row r="65">
      <c r="A65" s="9" t="inlineStr">
        <is>
          <t>MICHELIN 265/50/R20 PRIMACY 5 111V</t>
        </is>
      </c>
      <c r="B65" s="9" t="n">
        <v>3</v>
      </c>
      <c r="C65" s="9" t="n">
        <v>0</v>
      </c>
      <c r="D65" s="9" t="n">
        <v>-3</v>
      </c>
      <c r="E65" s="11" t="n">
        <v>-1</v>
      </c>
      <c r="F65" s="9" t="n">
        <v>12</v>
      </c>
      <c r="G65" s="9" t="n">
        <v>0</v>
      </c>
      <c r="H65" s="9" t="n">
        <v>-12</v>
      </c>
      <c r="I65" s="11" t="n">
        <v>-1</v>
      </c>
      <c r="J65" s="15" t="n">
        <v>119089.28</v>
      </c>
      <c r="K65" s="15" t="n">
        <v>0</v>
      </c>
    </row>
    <row r="66">
      <c r="A66" s="12" t="inlineStr">
        <is>
          <t>MICHELIN 215/60/R17 PRIMACY 5 100V</t>
        </is>
      </c>
      <c r="B66" s="12" t="n">
        <v>4</v>
      </c>
      <c r="C66" s="12" t="n">
        <v>1</v>
      </c>
      <c r="D66" s="12" t="n">
        <v>-3</v>
      </c>
      <c r="E66" s="14" t="n">
        <v>-0.75</v>
      </c>
      <c r="F66" s="12" t="n">
        <v>17</v>
      </c>
      <c r="G66" s="12" t="n">
        <v>4</v>
      </c>
      <c r="H66" s="12" t="n">
        <v>-13</v>
      </c>
      <c r="I66" s="14" t="n">
        <v>-0.7647058823529411</v>
      </c>
      <c r="J66" s="19" t="n">
        <v>138075.9</v>
      </c>
      <c r="K66" s="19" t="n">
        <v>31959.82</v>
      </c>
    </row>
    <row r="67">
      <c r="A67" s="9" t="inlineStr">
        <is>
          <t>MICHELIN 215/55/R16 PRIMACY 5 97W XL TL</t>
        </is>
      </c>
      <c r="B67" s="9" t="n">
        <v>4</v>
      </c>
      <c r="C67" s="9" t="n">
        <v>0</v>
      </c>
      <c r="D67" s="9" t="n">
        <v>-4</v>
      </c>
      <c r="E67" s="11" t="n">
        <v>-1</v>
      </c>
      <c r="F67" s="9" t="n">
        <v>16</v>
      </c>
      <c r="G67" s="9" t="n">
        <v>0</v>
      </c>
      <c r="H67" s="9" t="n">
        <v>-16</v>
      </c>
      <c r="I67" s="11" t="n">
        <v>-1</v>
      </c>
      <c r="J67" s="15" t="n">
        <v>118375</v>
      </c>
      <c r="K67" s="15" t="n">
        <v>0</v>
      </c>
    </row>
  </sheetData>
  <autoFilter ref="A4:K67"/>
  <mergeCells count="2">
    <mergeCell ref="A2:K2"/>
    <mergeCell ref="A1:K1"/>
  </mergeCells>
  <conditionalFormatting sqref="H5:H67">
    <cfRule type="colorScale" priority="1">
      <colorScale>
        <cfvo type="min"/>
        <cfvo type="num" val="0"/>
        <cfvo type="max"/>
        <color rgb="00F8696B"/>
        <color rgb="00FFEB84"/>
        <color rgb="0063BE7B"/>
      </colorScale>
    </cfRule>
  </conditionalFormatting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tabColor rgb="00F4B183"/>
    <outlinePr summaryBelow="1" summaryRight="1"/>
    <pageSetUpPr fitToPage="1"/>
  </sheetPr>
  <dimension ref="A1:K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 ht="34" customHeight="1">
      <c r="A1" s="1" t="inlineStr">
        <is>
          <t>Pattern Comparison</t>
        </is>
      </c>
    </row>
    <row r="2" ht="28" customHeight="1">
      <c r="A2" s="2" t="inlineStr">
        <is>
          <t>Fulfilled performance by item for the two 48-calendar-day reporting windows.</t>
        </is>
      </c>
    </row>
    <row r="4">
      <c r="A4" s="8" t="inlineStr">
        <is>
          <t>Pattern</t>
        </is>
      </c>
      <c r="B4" s="8" t="inlineStr">
        <is>
          <t>Before Orders</t>
        </is>
      </c>
      <c r="C4" s="8" t="inlineStr">
        <is>
          <t>After Orders</t>
        </is>
      </c>
      <c r="D4" s="8" t="inlineStr">
        <is>
          <t>Order Change</t>
        </is>
      </c>
      <c r="E4" s="8" t="inlineStr">
        <is>
          <t>Order % Change</t>
        </is>
      </c>
      <c r="F4" s="8" t="inlineStr">
        <is>
          <t>Before Tires</t>
        </is>
      </c>
      <c r="G4" s="8" t="inlineStr">
        <is>
          <t>After Tires</t>
        </is>
      </c>
      <c r="H4" s="8" t="inlineStr">
        <is>
          <t>Tire Change</t>
        </is>
      </c>
      <c r="I4" s="8" t="inlineStr">
        <is>
          <t>Tire % Change</t>
        </is>
      </c>
      <c r="J4" s="8" t="inlineStr">
        <is>
          <t>Before Net Sales</t>
        </is>
      </c>
      <c r="K4" s="8" t="inlineStr">
        <is>
          <t>After Net Sales</t>
        </is>
      </c>
    </row>
    <row r="5">
      <c r="A5" s="9" t="inlineStr">
        <is>
          <t>Primacy 5</t>
        </is>
      </c>
      <c r="B5" s="9" t="n">
        <v>54</v>
      </c>
      <c r="C5" s="9" t="n">
        <v>70</v>
      </c>
      <c r="D5" s="9" t="n">
        <v>16</v>
      </c>
      <c r="E5" s="11" t="n">
        <v>0.2962962962962963</v>
      </c>
      <c r="F5" s="9" t="n">
        <v>217</v>
      </c>
      <c r="G5" s="9" t="n">
        <v>281</v>
      </c>
      <c r="H5" s="9" t="n">
        <v>64</v>
      </c>
      <c r="I5" s="11" t="n">
        <v>0.2949308755760369</v>
      </c>
      <c r="J5" s="15" t="n">
        <v>1804575.930000001</v>
      </c>
      <c r="K5" s="15" t="n">
        <v>2225299.16</v>
      </c>
    </row>
    <row r="6">
      <c r="A6" s="12" t="inlineStr">
        <is>
          <t>Pilot Sport 5</t>
        </is>
      </c>
      <c r="B6" s="12" t="n">
        <v>14</v>
      </c>
      <c r="C6" s="12" t="n">
        <v>22</v>
      </c>
      <c r="D6" s="12" t="n">
        <v>8</v>
      </c>
      <c r="E6" s="14" t="n">
        <v>0.5714285714285714</v>
      </c>
      <c r="F6" s="12" t="n">
        <v>56</v>
      </c>
      <c r="G6" s="12" t="n">
        <v>89</v>
      </c>
      <c r="H6" s="12" t="n">
        <v>33</v>
      </c>
      <c r="I6" s="14" t="n">
        <v>0.5892857142857142</v>
      </c>
      <c r="J6" s="19" t="n">
        <v>666633.91</v>
      </c>
      <c r="K6" s="19" t="n">
        <v>1005683.03</v>
      </c>
    </row>
    <row r="7">
      <c r="A7" s="9" t="inlineStr">
        <is>
          <t>Latitude Sport 3</t>
        </is>
      </c>
      <c r="B7" s="9" t="n">
        <v>1</v>
      </c>
      <c r="C7" s="9" t="n">
        <v>3</v>
      </c>
      <c r="D7" s="9" t="n">
        <v>2</v>
      </c>
      <c r="E7" s="11" t="n">
        <v>2</v>
      </c>
      <c r="F7" s="9" t="n">
        <v>4</v>
      </c>
      <c r="G7" s="9" t="n">
        <v>16</v>
      </c>
      <c r="H7" s="9" t="n">
        <v>12</v>
      </c>
      <c r="I7" s="11" t="n">
        <v>3</v>
      </c>
      <c r="J7" s="15" t="n">
        <v>58035.71</v>
      </c>
      <c r="K7" s="15" t="n">
        <v>322857.14</v>
      </c>
    </row>
    <row r="8">
      <c r="A8" s="12" t="inlineStr">
        <is>
          <t>Pilot Sport Cup 2</t>
        </is>
      </c>
      <c r="B8" s="12" t="n">
        <v>0</v>
      </c>
      <c r="C8" s="12" t="n">
        <v>1</v>
      </c>
      <c r="D8" s="12" t="n">
        <v>1</v>
      </c>
      <c r="E8" s="14" t="inlineStr">
        <is>
          <t>New</t>
        </is>
      </c>
      <c r="F8" s="12" t="n">
        <v>0</v>
      </c>
      <c r="G8" s="12" t="n">
        <v>4</v>
      </c>
      <c r="H8" s="12" t="n">
        <v>4</v>
      </c>
      <c r="I8" s="14" t="inlineStr">
        <is>
          <t>New</t>
        </is>
      </c>
      <c r="J8" s="19" t="n">
        <v>0</v>
      </c>
      <c r="K8" s="19" t="n">
        <v>83928.57000000001</v>
      </c>
    </row>
    <row r="9">
      <c r="A9" s="9" t="inlineStr">
        <is>
          <t>Pilot Sport 4 S</t>
        </is>
      </c>
      <c r="B9" s="9" t="n">
        <v>12</v>
      </c>
      <c r="C9" s="9" t="n">
        <v>10</v>
      </c>
      <c r="D9" s="9" t="n">
        <v>-2</v>
      </c>
      <c r="E9" s="11" t="n">
        <v>-0.1666666666666666</v>
      </c>
      <c r="F9" s="9" t="n">
        <v>48</v>
      </c>
      <c r="G9" s="9" t="n">
        <v>40</v>
      </c>
      <c r="H9" s="9" t="n">
        <v>-8</v>
      </c>
      <c r="I9" s="11" t="n">
        <v>-0.1666666666666666</v>
      </c>
      <c r="J9" s="15" t="n">
        <v>687449.0900000001</v>
      </c>
      <c r="K9" s="15" t="n">
        <v>578066.96</v>
      </c>
    </row>
  </sheetData>
  <autoFilter ref="A4:K9"/>
  <mergeCells count="2">
    <mergeCell ref="A2:K2"/>
    <mergeCell ref="A1:K1"/>
  </mergeCells>
  <conditionalFormatting sqref="H5:H9">
    <cfRule type="colorScale" priority="1">
      <colorScale>
        <cfvo type="min"/>
        <cfvo type="num" val="0"/>
        <cfvo type="max"/>
        <color rgb="00F8696B"/>
        <color rgb="00FFEB84"/>
        <color rgb="0063BE7B"/>
      </colorScale>
    </cfRule>
  </conditionalFormatting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tabColor rgb="00A5A5A5"/>
    <outlinePr summaryBelow="1" summaryRight="1"/>
    <pageSetUpPr fitToPage="1"/>
  </sheetPr>
  <dimension ref="A1:H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20" customWidth="1" min="4" max="4"/>
    <col width="19" customWidth="1" min="5" max="5"/>
    <col width="19" customWidth="1" min="6" max="6"/>
    <col width="18" customWidth="1" min="7" max="7"/>
    <col width="18" customWidth="1" min="8" max="8"/>
  </cols>
  <sheetData>
    <row r="1" ht="34" customHeight="1">
      <c r="A1" s="1" t="inlineStr">
        <is>
          <t>July vs August 2026</t>
        </is>
      </c>
    </row>
    <row r="2" ht="28" customHeight="1">
      <c r="A2" s="2" t="inlineStr">
        <is>
          <t>Calendar-month view based on order date; use alongside the equal-window before/after comparison.</t>
        </is>
      </c>
    </row>
    <row r="3">
      <c r="A3" s="3" t="inlineStr">
        <is>
          <t>CAUTION: August order dates in the supplied data run through Aug 27, although pickups run through Aug 31. July includes records from both source files.</t>
        </is>
      </c>
    </row>
    <row r="5">
      <c r="A5" s="8" t="inlineStr">
        <is>
          <t>Month</t>
        </is>
      </c>
      <c r="B5" s="8" t="inlineStr">
        <is>
          <t>Orders</t>
        </is>
      </c>
      <c r="C5" s="8" t="inlineStr">
        <is>
          <t>Tires</t>
        </is>
      </c>
      <c r="D5" s="8" t="inlineStr">
        <is>
          <t>Net Sales</t>
        </is>
      </c>
      <c r="E5" s="8" t="inlineStr">
        <is>
          <t>Avg Tires/Order</t>
        </is>
      </c>
      <c r="F5" s="8" t="inlineStr">
        <is>
          <t>Avg Sales/Tire</t>
        </is>
      </c>
      <c r="G5" s="8" t="inlineStr">
        <is>
          <t>First Order Date</t>
        </is>
      </c>
      <c r="H5" s="8" t="inlineStr">
        <is>
          <t>Last Order Date</t>
        </is>
      </c>
    </row>
    <row r="6">
      <c r="A6" s="9" t="inlineStr">
        <is>
          <t>July 2026</t>
        </is>
      </c>
      <c r="B6" s="9" t="n">
        <v>85</v>
      </c>
      <c r="C6" s="9" t="n">
        <v>340</v>
      </c>
      <c r="D6" s="15" t="n">
        <v>3155234.88</v>
      </c>
      <c r="E6" s="20" t="n">
        <v>4</v>
      </c>
      <c r="F6" s="15" t="n">
        <v>9280.102588235293</v>
      </c>
      <c r="G6" s="21" t="n">
        <v>46204</v>
      </c>
      <c r="H6" s="21" t="n">
        <v>46234</v>
      </c>
    </row>
    <row r="7">
      <c r="A7" s="12" t="inlineStr">
        <is>
          <t>August 2026</t>
        </is>
      </c>
      <c r="B7" s="12" t="n">
        <v>52</v>
      </c>
      <c r="C7" s="12" t="n">
        <v>214</v>
      </c>
      <c r="D7" s="19" t="n">
        <v>2164678.57</v>
      </c>
      <c r="E7" s="16" t="n">
        <v>4.115384615384615</v>
      </c>
      <c r="F7" s="19" t="n">
        <v>10115.32042056075</v>
      </c>
      <c r="G7" s="22" t="n">
        <v>46235</v>
      </c>
      <c r="H7" s="22" t="n">
        <v>46261</v>
      </c>
    </row>
    <row r="8">
      <c r="A8" s="9" t="inlineStr">
        <is>
          <t>Change</t>
        </is>
      </c>
      <c r="B8" s="9">
        <f>B7-B6</f>
        <v/>
      </c>
      <c r="C8" s="9">
        <f>C7-C6</f>
        <v/>
      </c>
      <c r="D8" s="15">
        <f>D7-D6</f>
        <v/>
      </c>
      <c r="E8" s="20">
        <f>E7-E6</f>
        <v/>
      </c>
      <c r="F8" s="15">
        <f>F7-F6</f>
        <v/>
      </c>
      <c r="G8" s="9" t="inlineStr">
        <is>
          <t>—</t>
        </is>
      </c>
      <c r="H8" s="9" t="inlineStr">
        <is>
          <t>—</t>
        </is>
      </c>
    </row>
    <row r="9">
      <c r="A9" s="12" t="inlineStr">
        <is>
          <t>% Change</t>
        </is>
      </c>
      <c r="B9" s="14">
        <f>B7/B6-1</f>
        <v/>
      </c>
      <c r="C9" s="14">
        <f>C7/C6-1</f>
        <v/>
      </c>
      <c r="D9" s="14">
        <f>D7/D6-1</f>
        <v/>
      </c>
      <c r="E9" s="14">
        <f>E7/E6-1</f>
        <v/>
      </c>
      <c r="F9" s="14">
        <f>F7/F6-1</f>
        <v/>
      </c>
      <c r="G9" s="12" t="inlineStr">
        <is>
          <t>—</t>
        </is>
      </c>
      <c r="H9" s="12" t="inlineStr">
        <is>
          <t>—</t>
        </is>
      </c>
    </row>
  </sheetData>
  <mergeCells count="3">
    <mergeCell ref="A3:H3"/>
    <mergeCell ref="A2:H2"/>
    <mergeCell ref="A1:H1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O8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27" customWidth="1" min="3" max="3"/>
    <col width="12" customWidth="1" min="4" max="4"/>
    <col width="25" customWidth="1" min="5" max="5"/>
    <col width="60" customWidth="1" min="6" max="6"/>
    <col width="14" customWidth="1" min="7" max="7"/>
    <col width="13" customWidth="1" min="8" max="8"/>
    <col width="15" customWidth="1" min="9" max="9"/>
    <col width="12" customWidth="1" min="10" max="10"/>
    <col width="18" customWidth="1" min="11" max="11"/>
    <col width="22" customWidth="1" min="12" max="12"/>
    <col width="18" customWidth="1" min="13" max="13"/>
    <col width="30" customWidth="1" min="14" max="14"/>
    <col width="18" customWidth="1" min="15" max="15"/>
  </cols>
  <sheetData>
    <row r="1" ht="34" customHeight="1">
      <c r="A1" s="1" t="inlineStr">
        <is>
          <t>Raw Before</t>
        </is>
      </c>
    </row>
    <row r="2" ht="28" customHeight="1">
      <c r="A2" s="2" t="inlineStr">
        <is>
          <t>Transaction-level fulfilled records retained for audit and recalculation.</t>
        </is>
      </c>
    </row>
    <row r="4">
      <c r="A4" s="8" t="inlineStr">
        <is>
          <t>Period</t>
        </is>
      </c>
      <c r="B4" s="8" t="inlineStr">
        <is>
          <t>Order Date</t>
        </is>
      </c>
      <c r="C4" s="8" t="inlineStr">
        <is>
          <t>Pickup Date</t>
        </is>
      </c>
      <c r="D4" s="8" t="inlineStr">
        <is>
          <t>Order ID</t>
        </is>
      </c>
      <c r="E4" s="8" t="inlineStr">
        <is>
          <t>Customer</t>
        </is>
      </c>
      <c r="F4" s="8" t="inlineStr">
        <is>
          <t>SKU</t>
        </is>
      </c>
      <c r="G4" s="8" t="inlineStr">
        <is>
          <t>Agent</t>
        </is>
      </c>
      <c r="H4" s="8" t="inlineStr">
        <is>
          <t>Status</t>
        </is>
      </c>
      <c r="I4" s="8" t="inlineStr">
        <is>
          <t>Sales Agent</t>
        </is>
      </c>
      <c r="J4" s="8" t="inlineStr">
        <is>
          <t>Quantity</t>
        </is>
      </c>
      <c r="K4" s="8" t="inlineStr">
        <is>
          <t>Payment Status</t>
        </is>
      </c>
      <c r="L4" s="8" t="inlineStr">
        <is>
          <t>Pattern</t>
        </is>
      </c>
      <c r="M4" s="8" t="inlineStr">
        <is>
          <t>Contact</t>
        </is>
      </c>
      <c r="N4" s="8" t="inlineStr">
        <is>
          <t>Email</t>
        </is>
      </c>
      <c r="O4" s="8" t="inlineStr">
        <is>
          <t>Net Sales (₱)</t>
        </is>
      </c>
    </row>
    <row r="5">
      <c r="A5" t="inlineStr">
        <is>
          <t>Before | May 28–Jul 14</t>
        </is>
      </c>
      <c r="B5" s="23" t="n">
        <v>46216</v>
      </c>
      <c r="C5" t="inlineStr">
        <is>
          <t>Jul 18, 2026, 8:30:00 AM</t>
        </is>
      </c>
      <c r="D5" t="inlineStr">
        <is>
          <t>37063</t>
        </is>
      </c>
      <c r="E5" t="inlineStr">
        <is>
          <t>Ruzzen Alfonso</t>
        </is>
      </c>
      <c r="F5" t="inlineStr">
        <is>
          <t>MICHELIN 215/55/R16 PRIMACY 5 97W XL TL</t>
        </is>
      </c>
      <c r="G5" t="inlineStr">
        <is>
          <t>DEV</t>
        </is>
      </c>
      <c r="H5" t="inlineStr">
        <is>
          <t>Fulfilled</t>
        </is>
      </c>
      <c r="I5" t="inlineStr">
        <is>
          <t>DEV</t>
        </is>
      </c>
      <c r="J5" t="n">
        <v>4</v>
      </c>
      <c r="K5" t="inlineStr">
        <is>
          <t>Fully Paid</t>
        </is>
      </c>
      <c r="L5" t="inlineStr">
        <is>
          <t>Primacy 5</t>
        </is>
      </c>
      <c r="M5" t="inlineStr">
        <is>
          <t>09176311960</t>
        </is>
      </c>
      <c r="N5" t="inlineStr">
        <is>
          <t>rc.alfonso@mincon.com.ph</t>
        </is>
      </c>
      <c r="O5" s="24" t="n">
        <v>28678.57</v>
      </c>
    </row>
    <row r="6">
      <c r="A6" t="inlineStr">
        <is>
          <t>Before | May 28–Jul 14</t>
        </is>
      </c>
      <c r="B6" s="23" t="n">
        <v>46216</v>
      </c>
      <c r="C6" t="inlineStr">
        <is>
          <t>Jul 15, 2026, 9:00:00 AM</t>
        </is>
      </c>
      <c r="D6" t="inlineStr">
        <is>
          <t>37082</t>
        </is>
      </c>
      <c r="E6" t="inlineStr">
        <is>
          <t>Yom Tañedo</t>
        </is>
      </c>
      <c r="F6" t="inlineStr">
        <is>
          <t>MICHELIN 245/45/R20 PILOT SPORT 4 SUV FRV 103V XL TL</t>
        </is>
      </c>
      <c r="G6" t="inlineStr">
        <is>
          <t>DEV</t>
        </is>
      </c>
      <c r="H6" t="inlineStr">
        <is>
          <t>Fulfilled</t>
        </is>
      </c>
      <c r="I6" t="inlineStr">
        <is>
          <t>DEV</t>
        </is>
      </c>
      <c r="J6" t="n">
        <v>4</v>
      </c>
      <c r="K6" t="inlineStr">
        <is>
          <t>Partial Payment</t>
        </is>
      </c>
      <c r="L6" t="inlineStr">
        <is>
          <t>Pilot Sport 4 S</t>
        </is>
      </c>
      <c r="M6" t="inlineStr">
        <is>
          <t>0917-477-7700</t>
        </is>
      </c>
      <c r="N6" t="inlineStr">
        <is>
          <t>yomtanedo@yahoo.com</t>
        </is>
      </c>
      <c r="O6" s="24" t="n">
        <v>46794.64</v>
      </c>
    </row>
    <row r="7">
      <c r="A7" t="inlineStr">
        <is>
          <t>Before | May 28–Jul 14</t>
        </is>
      </c>
      <c r="B7" s="23" t="n">
        <v>46216</v>
      </c>
      <c r="C7" t="inlineStr">
        <is>
          <t>Jul 15, 2026, 9:00:00 AM</t>
        </is>
      </c>
      <c r="D7" t="inlineStr">
        <is>
          <t>37084</t>
        </is>
      </c>
      <c r="E7" t="inlineStr">
        <is>
          <t>Kyel Novilla</t>
        </is>
      </c>
      <c r="F7" t="inlineStr">
        <is>
          <t>MICHELIN 205/60/R16 PRIMACY 5 96W XL</t>
        </is>
      </c>
      <c r="G7" t="inlineStr">
        <is>
          <t>DEV</t>
        </is>
      </c>
      <c r="H7" t="inlineStr">
        <is>
          <t>Fulfilled</t>
        </is>
      </c>
      <c r="I7" t="inlineStr">
        <is>
          <t>DEV</t>
        </is>
      </c>
      <c r="J7" t="n">
        <v>4</v>
      </c>
      <c r="K7" t="inlineStr">
        <is>
          <t>Fully Paid</t>
        </is>
      </c>
      <c r="L7" t="inlineStr">
        <is>
          <t>Primacy 5</t>
        </is>
      </c>
      <c r="M7" t="inlineStr">
        <is>
          <t>09987771628</t>
        </is>
      </c>
      <c r="N7" t="inlineStr">
        <is>
          <t>kyelzero31@gmail.com</t>
        </is>
      </c>
      <c r="O7" s="24" t="n">
        <v>24321.43</v>
      </c>
    </row>
    <row r="8">
      <c r="A8" t="inlineStr">
        <is>
          <t>Before | May 28–Jul 14</t>
        </is>
      </c>
      <c r="B8" s="23" t="n">
        <v>46216</v>
      </c>
      <c r="C8" t="inlineStr">
        <is>
          <t>Jul 14, 2026, 4:00:00 PM</t>
        </is>
      </c>
      <c r="D8" t="inlineStr">
        <is>
          <t>37091</t>
        </is>
      </c>
      <c r="E8" t="inlineStr">
        <is>
          <t>HIDEKI JUBAY</t>
        </is>
      </c>
      <c r="F8" t="inlineStr">
        <is>
          <t>MICHELIN 205/65/R16 PRIMACY 5 95W</t>
        </is>
      </c>
      <c r="G8" t="inlineStr">
        <is>
          <t>AIRA</t>
        </is>
      </c>
      <c r="H8" t="inlineStr">
        <is>
          <t>Fulfilled</t>
        </is>
      </c>
      <c r="I8" t="inlineStr">
        <is>
          <t>AIRA</t>
        </is>
      </c>
      <c r="J8" t="n">
        <v>4</v>
      </c>
      <c r="K8" t="inlineStr">
        <is>
          <t>Fully Paid</t>
        </is>
      </c>
      <c r="L8" t="inlineStr">
        <is>
          <t>Primacy 5</t>
        </is>
      </c>
      <c r="M8" t="inlineStr">
        <is>
          <t>0917-884-8618</t>
        </is>
      </c>
      <c r="N8" t="inlineStr">
        <is>
          <t>-@gmail.com</t>
        </is>
      </c>
      <c r="O8" s="24" t="n">
        <v>21133.93</v>
      </c>
    </row>
    <row r="9">
      <c r="A9" t="inlineStr">
        <is>
          <t>Before | May 28–Jul 14</t>
        </is>
      </c>
      <c r="B9" s="23" t="n">
        <v>46216</v>
      </c>
      <c r="C9" t="inlineStr">
        <is>
          <t>Jul 14, 2026, 10:00:00 AM</t>
        </is>
      </c>
      <c r="D9" t="inlineStr">
        <is>
          <t>37075</t>
        </is>
      </c>
      <c r="E9" t="inlineStr">
        <is>
          <t>jun anthony garcia</t>
        </is>
      </c>
      <c r="F9" t="inlineStr">
        <is>
          <t>MICHELIN 225/45/ZR19 PILOT SPORT 5 96Y XL TL</t>
        </is>
      </c>
      <c r="G9" t="inlineStr">
        <is>
          <t>DEV</t>
        </is>
      </c>
      <c r="H9" t="inlineStr">
        <is>
          <t>Fulfilled</t>
        </is>
      </c>
      <c r="I9" t="inlineStr">
        <is>
          <t>DEV</t>
        </is>
      </c>
      <c r="J9" t="n">
        <v>4</v>
      </c>
      <c r="K9" t="inlineStr">
        <is>
          <t>Fully Paid</t>
        </is>
      </c>
      <c r="L9" t="inlineStr">
        <is>
          <t>Pilot Sport 5</t>
        </is>
      </c>
      <c r="M9" t="inlineStr">
        <is>
          <t>0928-701-8493</t>
        </is>
      </c>
      <c r="N9" t="inlineStr">
        <is>
          <t>garju101@live.com</t>
        </is>
      </c>
      <c r="O9" s="24" t="n">
        <v>54174.11</v>
      </c>
    </row>
    <row r="10">
      <c r="A10" t="inlineStr">
        <is>
          <t>Before | May 28–Jul 14</t>
        </is>
      </c>
      <c r="B10" s="23" t="n">
        <v>46216</v>
      </c>
      <c r="C10" t="inlineStr">
        <is>
          <t>Jul 13, 2026, 3:00:00 PM</t>
        </is>
      </c>
      <c r="D10" t="inlineStr">
        <is>
          <t>37074</t>
        </is>
      </c>
      <c r="E10" t="inlineStr">
        <is>
          <t>Franz Acedera</t>
        </is>
      </c>
      <c r="F10" t="inlineStr">
        <is>
          <t>MICHELIN 205/55/R16 PRIMACY 5 91W</t>
        </is>
      </c>
      <c r="G10" t="inlineStr">
        <is>
          <t>AIRA</t>
        </is>
      </c>
      <c r="H10" t="inlineStr">
        <is>
          <t>Fulfilled</t>
        </is>
      </c>
      <c r="I10" t="inlineStr">
        <is>
          <t>AIRA</t>
        </is>
      </c>
      <c r="J10" t="n">
        <v>4</v>
      </c>
      <c r="K10" t="inlineStr">
        <is>
          <t>Fully Paid</t>
        </is>
      </c>
      <c r="L10" t="inlineStr">
        <is>
          <t>Primacy 5</t>
        </is>
      </c>
      <c r="M10" t="inlineStr">
        <is>
          <t>0915-520-0351</t>
        </is>
      </c>
      <c r="N10" t="inlineStr">
        <is>
          <t>-@gmail.com</t>
        </is>
      </c>
      <c r="O10" s="24" t="n">
        <v>22392.86</v>
      </c>
    </row>
    <row r="11">
      <c r="A11" t="inlineStr">
        <is>
          <t>Before | May 28–Jul 14</t>
        </is>
      </c>
      <c r="B11" s="23" t="n">
        <v>46207</v>
      </c>
      <c r="C11" t="inlineStr">
        <is>
          <t>Jul 13, 2026, 9:00:00 AM</t>
        </is>
      </c>
      <c r="D11" t="inlineStr">
        <is>
          <t>36795</t>
        </is>
      </c>
      <c r="E11" t="inlineStr">
        <is>
          <t>Marjorie Diaz</t>
        </is>
      </c>
      <c r="F11" t="inlineStr">
        <is>
          <t>MICHELIN 205/60/R16 PRIMACY 5 96W XL</t>
        </is>
      </c>
      <c r="G11" t="inlineStr">
        <is>
          <t>REMYLYN</t>
        </is>
      </c>
      <c r="H11" t="inlineStr">
        <is>
          <t>Fulfilled</t>
        </is>
      </c>
      <c r="I11" t="inlineStr">
        <is>
          <t>REMYLYN</t>
        </is>
      </c>
      <c r="J11" t="n">
        <v>4</v>
      </c>
      <c r="K11" t="inlineStr">
        <is>
          <t>Fully Paid</t>
        </is>
      </c>
      <c r="L11" t="inlineStr">
        <is>
          <t>Primacy 5</t>
        </is>
      </c>
      <c r="M11" t="inlineStr">
        <is>
          <t>0929-419-9869</t>
        </is>
      </c>
      <c r="N11" t="inlineStr">
        <is>
          <t>marjdiaz15@gmail.com</t>
        </is>
      </c>
      <c r="O11" s="24" t="n">
        <v>24857.14</v>
      </c>
    </row>
    <row r="12">
      <c r="A12" t="inlineStr">
        <is>
          <t>Before | May 28–Jul 14</t>
        </is>
      </c>
      <c r="B12" s="23" t="n">
        <v>46213</v>
      </c>
      <c r="C12" t="inlineStr">
        <is>
          <t>Jul 13, 2026, 9:00:00 AM</t>
        </is>
      </c>
      <c r="D12" t="inlineStr">
        <is>
          <t>37012</t>
        </is>
      </c>
      <c r="E12" t="inlineStr">
        <is>
          <t>AVA VEIRA DE GUZMAN</t>
        </is>
      </c>
      <c r="F12" t="inlineStr">
        <is>
          <t>MICHELIN 205/60/R16 PRIMACY 5 96W XL</t>
        </is>
      </c>
      <c r="G12" t="inlineStr">
        <is>
          <t>DEV</t>
        </is>
      </c>
      <c r="H12" t="inlineStr">
        <is>
          <t>Fulfilled</t>
        </is>
      </c>
      <c r="I12" t="inlineStr">
        <is>
          <t>DEV</t>
        </is>
      </c>
      <c r="J12" t="n">
        <v>4</v>
      </c>
      <c r="K12" t="inlineStr">
        <is>
          <t>Fully Paid</t>
        </is>
      </c>
      <c r="L12" t="inlineStr">
        <is>
          <t>Primacy 5</t>
        </is>
      </c>
      <c r="M12" t="inlineStr">
        <is>
          <t>09178017096</t>
        </is>
      </c>
      <c r="N12" t="inlineStr">
        <is>
          <t>avadeguzman.rph@gmail.com</t>
        </is>
      </c>
      <c r="O12" s="24" t="n">
        <v>24321.43</v>
      </c>
    </row>
    <row r="13">
      <c r="A13" t="inlineStr">
        <is>
          <t>Before | May 28–Jul 14</t>
        </is>
      </c>
      <c r="B13" s="23" t="n">
        <v>46214</v>
      </c>
      <c r="C13" t="inlineStr">
        <is>
          <t>Jul 11, 2026, 1:00:00 PM</t>
        </is>
      </c>
      <c r="D13" t="inlineStr">
        <is>
          <t>37037</t>
        </is>
      </c>
      <c r="E13" t="inlineStr">
        <is>
          <t>Ryan Medina</t>
        </is>
      </c>
      <c r="F13" t="inlineStr">
        <is>
          <t>MICHELIN 225/60/R17 PRIMACY 5 103V</t>
        </is>
      </c>
      <c r="G13" t="inlineStr">
        <is>
          <t>ROLYN ANG</t>
        </is>
      </c>
      <c r="H13" t="inlineStr">
        <is>
          <t>Fulfilled</t>
        </is>
      </c>
      <c r="I13" t="inlineStr">
        <is>
          <t>ROLYN ANG</t>
        </is>
      </c>
      <c r="J13" t="n">
        <v>4</v>
      </c>
      <c r="K13" t="inlineStr">
        <is>
          <t>Fully Paid</t>
        </is>
      </c>
      <c r="L13" t="inlineStr">
        <is>
          <t>Primacy 5</t>
        </is>
      </c>
      <c r="M13" t="inlineStr">
        <is>
          <t>0917-203-0168</t>
        </is>
      </c>
      <c r="N13" t="inlineStr">
        <is>
          <t>nimuysanoy26@gmail.com</t>
        </is>
      </c>
      <c r="O13" s="24" t="n">
        <v>37500</v>
      </c>
    </row>
    <row r="14">
      <c r="A14" t="inlineStr">
        <is>
          <t>Before | May 28–Jul 14</t>
        </is>
      </c>
      <c r="B14" s="23" t="n">
        <v>46210</v>
      </c>
      <c r="C14" t="inlineStr">
        <is>
          <t>Jul 11, 2026, 1:00:00 PM</t>
        </is>
      </c>
      <c r="D14" t="inlineStr">
        <is>
          <t>36885</t>
        </is>
      </c>
      <c r="E14" t="inlineStr">
        <is>
          <t>Rita Bautista</t>
        </is>
      </c>
      <c r="F14" t="inlineStr">
        <is>
          <t>MICHELIN 235/50/R19 PRIMACY 5 103W</t>
        </is>
      </c>
      <c r="G14" t="inlineStr">
        <is>
          <t>DEV</t>
        </is>
      </c>
      <c r="H14" t="inlineStr">
        <is>
          <t>Fulfilled</t>
        </is>
      </c>
      <c r="I14" t="inlineStr">
        <is>
          <t>DEV</t>
        </is>
      </c>
      <c r="J14" t="n">
        <v>4</v>
      </c>
      <c r="K14" t="inlineStr">
        <is>
          <t>Fully Paid</t>
        </is>
      </c>
      <c r="L14" t="inlineStr">
        <is>
          <t>Primacy 5</t>
        </is>
      </c>
      <c r="M14" t="inlineStr">
        <is>
          <t>09178161677</t>
        </is>
      </c>
      <c r="N14" t="inlineStr">
        <is>
          <t>ritzlu@gmail.com</t>
        </is>
      </c>
      <c r="O14" s="24" t="n">
        <v>43526.79</v>
      </c>
    </row>
    <row r="15">
      <c r="A15" t="inlineStr">
        <is>
          <t>Before | May 28–Jul 14</t>
        </is>
      </c>
      <c r="B15" s="23" t="n">
        <v>46195</v>
      </c>
      <c r="C15" t="inlineStr">
        <is>
          <t>Jul 11, 2026, 1:00:00 PM</t>
        </is>
      </c>
      <c r="D15" t="inlineStr">
        <is>
          <t>36290</t>
        </is>
      </c>
      <c r="E15" t="inlineStr">
        <is>
          <t>SUNG JOO</t>
        </is>
      </c>
      <c r="F15" t="inlineStr">
        <is>
          <t>MICHELIN 215/55/R17 PRIMACY 5 94V</t>
        </is>
      </c>
      <c r="G15" t="inlineStr">
        <is>
          <t>DEV</t>
        </is>
      </c>
      <c r="H15" t="inlineStr">
        <is>
          <t>Fulfilled</t>
        </is>
      </c>
      <c r="I15" t="inlineStr">
        <is>
          <t>DEV</t>
        </is>
      </c>
      <c r="J15" t="n">
        <v>4</v>
      </c>
      <c r="K15" t="inlineStr">
        <is>
          <t>Fully Paid</t>
        </is>
      </c>
      <c r="L15" t="inlineStr">
        <is>
          <t>Primacy 5</t>
        </is>
      </c>
      <c r="M15" t="inlineStr">
        <is>
          <t>09693290000</t>
        </is>
      </c>
      <c r="N15" t="inlineStr">
        <is>
          <t>chosungjoo73@gmail.com</t>
        </is>
      </c>
      <c r="O15" s="24" t="n">
        <v>33674.11</v>
      </c>
    </row>
    <row r="16">
      <c r="A16" t="inlineStr">
        <is>
          <t>Before | May 28–Jul 14</t>
        </is>
      </c>
      <c r="B16" s="23" t="n">
        <v>46213</v>
      </c>
      <c r="C16" t="inlineStr">
        <is>
          <t>Jul 11, 2026, 10:00:00 AM</t>
        </is>
      </c>
      <c r="D16" t="inlineStr">
        <is>
          <t>37011</t>
        </is>
      </c>
      <c r="E16" t="inlineStr">
        <is>
          <t>Victor Caparas</t>
        </is>
      </c>
      <c r="F16" t="inlineStr">
        <is>
          <t>MICHELIN 305/40/R20 PILOT SPORT 4 SUV 112Y</t>
        </is>
      </c>
      <c r="G16" t="inlineStr">
        <is>
          <t>DEV</t>
        </is>
      </c>
      <c r="H16" t="inlineStr">
        <is>
          <t>Fulfilled</t>
        </is>
      </c>
      <c r="I16" t="inlineStr">
        <is>
          <t>DEV</t>
        </is>
      </c>
      <c r="J16" t="n">
        <v>4</v>
      </c>
      <c r="K16" t="inlineStr">
        <is>
          <t>Fully Paid</t>
        </is>
      </c>
      <c r="L16" t="inlineStr">
        <is>
          <t>Pilot Sport 4 S</t>
        </is>
      </c>
      <c r="M16" t="inlineStr">
        <is>
          <t>09178044080</t>
        </is>
      </c>
      <c r="N16" t="inlineStr">
        <is>
          <t>victor.caparas@gmail.com</t>
        </is>
      </c>
      <c r="O16" s="24" t="n">
        <v>81940.17999999999</v>
      </c>
    </row>
    <row r="17">
      <c r="A17" t="inlineStr">
        <is>
          <t>Before | May 28–Jul 14</t>
        </is>
      </c>
      <c r="B17" s="23" t="n">
        <v>46202</v>
      </c>
      <c r="C17" t="inlineStr">
        <is>
          <t>Jul 11, 2026, 10:00:00 AM</t>
        </is>
      </c>
      <c r="D17" t="inlineStr">
        <is>
          <t>36569</t>
        </is>
      </c>
      <c r="E17" t="inlineStr">
        <is>
          <t>Kim Masa</t>
        </is>
      </c>
      <c r="F17" t="inlineStr">
        <is>
          <t>MICHELIN 215/55/R16 PRIMACY 5 97W XL TL</t>
        </is>
      </c>
      <c r="G17" t="inlineStr">
        <is>
          <t>DEV</t>
        </is>
      </c>
      <c r="H17" t="inlineStr">
        <is>
          <t>Fulfilled</t>
        </is>
      </c>
      <c r="I17" t="inlineStr">
        <is>
          <t>DEV</t>
        </is>
      </c>
      <c r="J17" t="n">
        <v>4</v>
      </c>
      <c r="K17" t="inlineStr">
        <is>
          <t>Fully Paid</t>
        </is>
      </c>
      <c r="L17" t="inlineStr">
        <is>
          <t>Primacy 5</t>
        </is>
      </c>
      <c r="M17" t="inlineStr">
        <is>
          <t>09173163415</t>
        </is>
      </c>
      <c r="N17" t="inlineStr">
        <is>
          <t>kimpao.masa@gmail.com</t>
        </is>
      </c>
      <c r="O17" s="24" t="n">
        <v>28901.79</v>
      </c>
    </row>
    <row r="18">
      <c r="A18" t="inlineStr">
        <is>
          <t>Before | May 28–Jul 14</t>
        </is>
      </c>
      <c r="B18" s="23" t="n">
        <v>46209</v>
      </c>
      <c r="C18" t="inlineStr">
        <is>
          <t>Jul 11, 2026, 9:00:00 AM</t>
        </is>
      </c>
      <c r="D18" t="inlineStr">
        <is>
          <t>36839</t>
        </is>
      </c>
      <c r="E18" t="inlineStr">
        <is>
          <t>John Kristoffer Herrera</t>
        </is>
      </c>
      <c r="F18" t="inlineStr">
        <is>
          <t>MICHELIN 225/45/R17 PRIMACY 5 94W XL</t>
        </is>
      </c>
      <c r="G18" t="inlineStr">
        <is>
          <t>DEV</t>
        </is>
      </c>
      <c r="H18" t="inlineStr">
        <is>
          <t>Fulfilled</t>
        </is>
      </c>
      <c r="I18" t="inlineStr">
        <is>
          <t>DEV</t>
        </is>
      </c>
      <c r="J18" t="n">
        <v>4</v>
      </c>
      <c r="K18" t="inlineStr">
        <is>
          <t>Fully Paid</t>
        </is>
      </c>
      <c r="L18" t="inlineStr">
        <is>
          <t>Primacy 5</t>
        </is>
      </c>
      <c r="M18" t="inlineStr">
        <is>
          <t>09770080769</t>
        </is>
      </c>
      <c r="N18" t="inlineStr">
        <is>
          <t>jkbherrera@gmail.com</t>
        </is>
      </c>
      <c r="O18" s="24" t="n">
        <v>31040.18</v>
      </c>
    </row>
    <row r="19">
      <c r="A19" t="inlineStr">
        <is>
          <t>Before | May 28–Jul 14</t>
        </is>
      </c>
      <c r="B19" s="23" t="n">
        <v>46211</v>
      </c>
      <c r="C19" t="inlineStr">
        <is>
          <t>Jul 11, 2026, 8:30:00 AM</t>
        </is>
      </c>
      <c r="D19" t="inlineStr">
        <is>
          <t>36941</t>
        </is>
      </c>
      <c r="E19" t="inlineStr">
        <is>
          <t>Lee Roi Buenaventura</t>
        </is>
      </c>
      <c r="F19" t="inlineStr">
        <is>
          <t>MICHELIN 235/45/R18 PRIMACY 5 98Y</t>
        </is>
      </c>
      <c r="G19" t="inlineStr">
        <is>
          <t>DEV</t>
        </is>
      </c>
      <c r="H19" t="inlineStr">
        <is>
          <t>Fulfilled</t>
        </is>
      </c>
      <c r="I19" t="inlineStr">
        <is>
          <t>DEV</t>
        </is>
      </c>
      <c r="J19" t="n">
        <v>4</v>
      </c>
      <c r="K19" t="inlineStr">
        <is>
          <t>Fully Paid</t>
        </is>
      </c>
      <c r="L19" t="inlineStr">
        <is>
          <t>Primacy 5</t>
        </is>
      </c>
      <c r="M19" t="inlineStr">
        <is>
          <t>09062778197</t>
        </is>
      </c>
      <c r="N19" t="inlineStr">
        <is>
          <t>lee.roi.buenaventura@gmail.com</t>
        </is>
      </c>
      <c r="O19" s="24" t="n">
        <v>36303.57</v>
      </c>
    </row>
    <row r="20">
      <c r="A20" t="inlineStr">
        <is>
          <t>Before | May 28–Jul 14</t>
        </is>
      </c>
      <c r="B20" s="23" t="n">
        <v>46210</v>
      </c>
      <c r="C20" t="inlineStr">
        <is>
          <t>Jul 10, 2026, 2:00:00 PM</t>
        </is>
      </c>
      <c r="D20" t="inlineStr">
        <is>
          <t>36901</t>
        </is>
      </c>
      <c r="E20" t="inlineStr">
        <is>
          <t>Dy Perez</t>
        </is>
      </c>
      <c r="F20" t="inlineStr">
        <is>
          <t>MICHELIN 235/50/R18 PRIMACY 5 97W</t>
        </is>
      </c>
      <c r="G20" t="inlineStr">
        <is>
          <t>DEV</t>
        </is>
      </c>
      <c r="H20" t="inlineStr">
        <is>
          <t>Fulfilled</t>
        </is>
      </c>
      <c r="I20" t="inlineStr">
        <is>
          <t>DEV</t>
        </is>
      </c>
      <c r="J20" t="n">
        <v>4</v>
      </c>
      <c r="K20" t="inlineStr">
        <is>
          <t>Fully Paid</t>
        </is>
      </c>
      <c r="L20" t="inlineStr">
        <is>
          <t>Primacy 5</t>
        </is>
      </c>
      <c r="M20" t="inlineStr">
        <is>
          <t>0917-315-0201</t>
        </is>
      </c>
      <c r="N20" t="inlineStr">
        <is>
          <t>r.perez137@yahoo.com</t>
        </is>
      </c>
      <c r="O20" s="24" t="n">
        <v>37727.68</v>
      </c>
    </row>
    <row r="21">
      <c r="A21" t="inlineStr">
        <is>
          <t>Before | May 28–Jul 14</t>
        </is>
      </c>
      <c r="B21" s="23" t="n">
        <v>46211</v>
      </c>
      <c r="C21" t="inlineStr">
        <is>
          <t>Jul 10, 2026, 1:00:00 PM</t>
        </is>
      </c>
      <c r="D21" t="inlineStr">
        <is>
          <t>36933</t>
        </is>
      </c>
      <c r="E21" t="inlineStr">
        <is>
          <t>John Joseph Concepcion</t>
        </is>
      </c>
      <c r="F21" t="inlineStr">
        <is>
          <t>MICHELIN 205/55/R16 PRIMACY 5 91W</t>
        </is>
      </c>
      <c r="G21" t="inlineStr">
        <is>
          <t>DEV</t>
        </is>
      </c>
      <c r="H21" t="inlineStr">
        <is>
          <t>Fulfilled</t>
        </is>
      </c>
      <c r="I21" t="inlineStr">
        <is>
          <t>DEV</t>
        </is>
      </c>
      <c r="J21" t="n">
        <v>4</v>
      </c>
      <c r="K21" t="inlineStr">
        <is>
          <t>Fully Paid</t>
        </is>
      </c>
      <c r="L21" t="inlineStr">
        <is>
          <t>Primacy 5</t>
        </is>
      </c>
      <c r="M21" t="inlineStr">
        <is>
          <t>09176902100</t>
        </is>
      </c>
      <c r="N21" t="inlineStr">
        <is>
          <t>concepcionjjq@gmail.com</t>
        </is>
      </c>
      <c r="O21" s="24" t="n">
        <v>21678.57</v>
      </c>
    </row>
    <row r="22">
      <c r="A22" t="inlineStr">
        <is>
          <t>Before | May 28–Jul 14</t>
        </is>
      </c>
      <c r="B22" s="23" t="n">
        <v>46210</v>
      </c>
      <c r="C22" t="inlineStr">
        <is>
          <t>Jul 10, 2026, 9:37:00 AM</t>
        </is>
      </c>
      <c r="D22" t="inlineStr">
        <is>
          <t>36880</t>
        </is>
      </c>
      <c r="E22" t="inlineStr">
        <is>
          <t>Michael Hoffman</t>
        </is>
      </c>
      <c r="F22" t="inlineStr">
        <is>
          <t>MICHELIN 235/50/R19 PRIMACY 5 103W</t>
        </is>
      </c>
      <c r="G22" t="inlineStr">
        <is>
          <t>DEV</t>
        </is>
      </c>
      <c r="H22" t="inlineStr">
        <is>
          <t>Fulfilled</t>
        </is>
      </c>
      <c r="I22" t="inlineStr">
        <is>
          <t>DEV</t>
        </is>
      </c>
      <c r="J22" t="n">
        <v>4</v>
      </c>
      <c r="K22" t="inlineStr">
        <is>
          <t>Partial Payment</t>
        </is>
      </c>
      <c r="L22" t="inlineStr">
        <is>
          <t>Primacy 5</t>
        </is>
      </c>
      <c r="M22" t="inlineStr">
        <is>
          <t>09674570955</t>
        </is>
      </c>
      <c r="N22" t="inlineStr">
        <is>
          <t>different.hanja@gmail.com</t>
        </is>
      </c>
      <c r="O22" s="24" t="n">
        <v>43973.21</v>
      </c>
    </row>
    <row r="23">
      <c r="A23" t="inlineStr">
        <is>
          <t>Before | May 28–Jul 14</t>
        </is>
      </c>
      <c r="B23" s="23" t="n">
        <v>46189</v>
      </c>
      <c r="C23" t="inlineStr">
        <is>
          <t>Jul 10, 2026, 9:00:00 AM</t>
        </is>
      </c>
      <c r="D23" t="inlineStr">
        <is>
          <t>36133</t>
        </is>
      </c>
      <c r="E23" t="inlineStr">
        <is>
          <t>Crisz prado</t>
        </is>
      </c>
      <c r="F23" t="inlineStr">
        <is>
          <t>MICHELIN 235/55/R18 PRIMACY 5 104W</t>
        </is>
      </c>
      <c r="G23" t="inlineStr">
        <is>
          <t>DEV</t>
        </is>
      </c>
      <c r="H23" t="inlineStr">
        <is>
          <t>Fulfilled</t>
        </is>
      </c>
      <c r="I23" t="inlineStr">
        <is>
          <t>DEV</t>
        </is>
      </c>
      <c r="J23" t="n">
        <v>4</v>
      </c>
      <c r="K23" t="inlineStr">
        <is>
          <t>Fully Paid</t>
        </is>
      </c>
      <c r="L23" t="inlineStr">
        <is>
          <t>Primacy 5</t>
        </is>
      </c>
      <c r="M23" t="inlineStr">
        <is>
          <t>09175200351</t>
        </is>
      </c>
      <c r="N23" t="inlineStr">
        <is>
          <t>virus072510@gmail.com</t>
        </is>
      </c>
      <c r="O23" s="24" t="n">
        <v>36263.39</v>
      </c>
    </row>
    <row r="24">
      <c r="A24" t="inlineStr">
        <is>
          <t>Before | May 28–Jul 14</t>
        </is>
      </c>
      <c r="B24" s="23" t="n">
        <v>46210</v>
      </c>
      <c r="C24" t="inlineStr">
        <is>
          <t>Jul 9, 2026, 8:00:00 AM</t>
        </is>
      </c>
      <c r="D24" t="inlineStr">
        <is>
          <t>36900</t>
        </is>
      </c>
      <c r="E24" t="inlineStr">
        <is>
          <t>Caroline Lea</t>
        </is>
      </c>
      <c r="F24" t="inlineStr">
        <is>
          <t>MICHELIN 205/55/R17 PRIMACY 5 95W</t>
        </is>
      </c>
      <c r="G24" t="inlineStr">
        <is>
          <t>DEV</t>
        </is>
      </c>
      <c r="H24" t="inlineStr">
        <is>
          <t>Fulfilled</t>
        </is>
      </c>
      <c r="I24" t="inlineStr">
        <is>
          <t>DEV</t>
        </is>
      </c>
      <c r="J24" t="n">
        <v>4</v>
      </c>
      <c r="K24" t="inlineStr">
        <is>
          <t>Fully Paid</t>
        </is>
      </c>
      <c r="L24" t="inlineStr">
        <is>
          <t>Primacy 5</t>
        </is>
      </c>
      <c r="M24" t="inlineStr">
        <is>
          <t>09942021971</t>
        </is>
      </c>
      <c r="N24" t="inlineStr">
        <is>
          <t>icmleao11@gmail.com</t>
        </is>
      </c>
      <c r="O24" s="24" t="n">
        <v>29120.54</v>
      </c>
    </row>
    <row r="25">
      <c r="A25" t="inlineStr">
        <is>
          <t>Before | May 28–Jul 14</t>
        </is>
      </c>
      <c r="B25" s="23" t="n">
        <v>46211</v>
      </c>
      <c r="C25" t="inlineStr">
        <is>
          <t>Jul 8, 2026, 3:00:00 PM</t>
        </is>
      </c>
      <c r="D25" t="inlineStr">
        <is>
          <t>36937</t>
        </is>
      </c>
      <c r="E25" t="inlineStr">
        <is>
          <t>Annamarie Tadina</t>
        </is>
      </c>
      <c r="F25" t="inlineStr">
        <is>
          <t>MICHELIN 215/60/R17 PRIMACY 5 100V</t>
        </is>
      </c>
      <c r="G25" t="inlineStr">
        <is>
          <t>ROLYN ANG</t>
        </is>
      </c>
      <c r="H25" t="inlineStr">
        <is>
          <t>Fulfilled</t>
        </is>
      </c>
      <c r="I25" t="inlineStr">
        <is>
          <t>ROLYN ANG</t>
        </is>
      </c>
      <c r="J25" t="n">
        <v>4</v>
      </c>
      <c r="K25" t="inlineStr">
        <is>
          <t>Fully Paid</t>
        </is>
      </c>
      <c r="L25" t="inlineStr">
        <is>
          <t>Primacy 5</t>
        </is>
      </c>
      <c r="M25" t="inlineStr">
        <is>
          <t>0947-994-6909</t>
        </is>
      </c>
      <c r="N25" t="inlineStr">
        <is>
          <t>ann.tadina@gmail.com</t>
        </is>
      </c>
      <c r="O25" s="24" t="n">
        <v>31245.54</v>
      </c>
    </row>
    <row r="26">
      <c r="A26" t="inlineStr">
        <is>
          <t>Before | May 28–Jul 14</t>
        </is>
      </c>
      <c r="B26" s="23" t="n">
        <v>46207</v>
      </c>
      <c r="C26" t="inlineStr">
        <is>
          <t>Jul 8, 2026, 9:00:00 AM</t>
        </is>
      </c>
      <c r="D26" t="inlineStr">
        <is>
          <t>36807</t>
        </is>
      </c>
      <c r="E26" t="inlineStr">
        <is>
          <t>Joash Jae Audric Igarta</t>
        </is>
      </c>
      <c r="F26" t="inlineStr">
        <is>
          <t>MICHELIN 205/55/R16 PRIMACY 5 91W</t>
        </is>
      </c>
      <c r="G26" t="inlineStr">
        <is>
          <t>DEV</t>
        </is>
      </c>
      <c r="H26" t="inlineStr">
        <is>
          <t>Fulfilled</t>
        </is>
      </c>
      <c r="I26" t="inlineStr">
        <is>
          <t>DEV</t>
        </is>
      </c>
      <c r="J26" t="n">
        <v>4</v>
      </c>
      <c r="K26" t="inlineStr">
        <is>
          <t>Fully Paid</t>
        </is>
      </c>
      <c r="L26" t="inlineStr">
        <is>
          <t>Primacy 5</t>
        </is>
      </c>
      <c r="M26" t="inlineStr">
        <is>
          <t>09178948637</t>
        </is>
      </c>
      <c r="N26" t="inlineStr">
        <is>
          <t>joashigarta@gmail.com</t>
        </is>
      </c>
      <c r="O26" s="24" t="n">
        <v>21589.29</v>
      </c>
    </row>
    <row r="27">
      <c r="A27" t="inlineStr">
        <is>
          <t>Before | May 28–Jul 14</t>
        </is>
      </c>
      <c r="B27" s="23" t="n">
        <v>46210</v>
      </c>
      <c r="C27" t="inlineStr">
        <is>
          <t>Jul 8, 2026, 8:00:00 AM</t>
        </is>
      </c>
      <c r="D27" t="inlineStr">
        <is>
          <t>36891</t>
        </is>
      </c>
      <c r="E27" t="inlineStr">
        <is>
          <t>Calsen Calaycay</t>
        </is>
      </c>
      <c r="F27" t="inlineStr">
        <is>
          <t>MICHELIN 225/55/R18 PRIMACY 5 102V</t>
        </is>
      </c>
      <c r="G27" t="inlineStr">
        <is>
          <t>AIRA</t>
        </is>
      </c>
      <c r="H27" t="inlineStr">
        <is>
          <t>Fulfilled</t>
        </is>
      </c>
      <c r="I27" t="inlineStr">
        <is>
          <t>AIRA</t>
        </is>
      </c>
      <c r="J27" t="n">
        <v>4</v>
      </c>
      <c r="K27" t="inlineStr">
        <is>
          <t>Partial Payment</t>
        </is>
      </c>
      <c r="L27" t="inlineStr">
        <is>
          <t>Primacy 5</t>
        </is>
      </c>
      <c r="M27" t="inlineStr">
        <is>
          <t>0920-921-2197</t>
        </is>
      </c>
      <c r="N27" t="inlineStr">
        <is>
          <t>calaycayc1971@gmail.com</t>
        </is>
      </c>
      <c r="O27" s="24" t="n">
        <v>35799.11</v>
      </c>
    </row>
    <row r="28">
      <c r="A28" t="inlineStr">
        <is>
          <t>Before | May 28–Jul 14</t>
        </is>
      </c>
      <c r="B28" s="23" t="n">
        <v>46208</v>
      </c>
      <c r="C28" t="inlineStr">
        <is>
          <t>Jul 7, 2026, 10:00:00 AM</t>
        </is>
      </c>
      <c r="D28" t="inlineStr">
        <is>
          <t>36823</t>
        </is>
      </c>
      <c r="E28" t="inlineStr">
        <is>
          <t>Nilo Madrid</t>
        </is>
      </c>
      <c r="F28" t="inlineStr">
        <is>
          <t>MICHELIN 235/55/R17 PRIMACY 5 103W</t>
        </is>
      </c>
      <c r="G28" t="inlineStr">
        <is>
          <t>SARAH MAE MANANSALA</t>
        </is>
      </c>
      <c r="H28" t="inlineStr">
        <is>
          <t>Fulfilled</t>
        </is>
      </c>
      <c r="I28" t="inlineStr">
        <is>
          <t>SARAH MAE MANANSALA</t>
        </is>
      </c>
      <c r="J28" t="n">
        <v>4</v>
      </c>
      <c r="K28" t="inlineStr">
        <is>
          <t>Fully Paid</t>
        </is>
      </c>
      <c r="L28" t="inlineStr">
        <is>
          <t>Primacy 5</t>
        </is>
      </c>
      <c r="M28" t="inlineStr">
        <is>
          <t>0908-867-3034</t>
        </is>
      </c>
      <c r="N28" t="inlineStr">
        <is>
          <t>prmadrid30@yahoo.com</t>
        </is>
      </c>
      <c r="O28" s="24" t="n">
        <v>35651.79</v>
      </c>
    </row>
    <row r="29">
      <c r="A29" t="inlineStr">
        <is>
          <t>Before | May 28–Jul 14</t>
        </is>
      </c>
      <c r="B29" s="23" t="n">
        <v>46203</v>
      </c>
      <c r="C29" t="inlineStr">
        <is>
          <t>Jul 7, 2026, 10:00:00 AM</t>
        </is>
      </c>
      <c r="D29" t="inlineStr">
        <is>
          <t>36650</t>
        </is>
      </c>
      <c r="E29" t="inlineStr">
        <is>
          <t>Wilson Guado</t>
        </is>
      </c>
      <c r="F29" t="inlineStr">
        <is>
          <t>MICHELIN 255/50/R19 LATITUDE SPORT 3 ZP 107W</t>
        </is>
      </c>
      <c r="G29" t="inlineStr">
        <is>
          <t>REMYLYN</t>
        </is>
      </c>
      <c r="H29" t="inlineStr">
        <is>
          <t>Fulfilled</t>
        </is>
      </c>
      <c r="I29" t="inlineStr">
        <is>
          <t>REMYLYN</t>
        </is>
      </c>
      <c r="J29" t="n">
        <v>4</v>
      </c>
      <c r="K29" t="inlineStr">
        <is>
          <t>Fully Paid</t>
        </is>
      </c>
      <c r="L29" t="inlineStr">
        <is>
          <t>Latitude Sport 3</t>
        </is>
      </c>
      <c r="M29" t="inlineStr">
        <is>
          <t>0917-326-0456</t>
        </is>
      </c>
      <c r="N29" t="inlineStr">
        <is>
          <t>jaysonguado@gmail.com</t>
        </is>
      </c>
      <c r="O29" s="24" t="n">
        <v>58035.71</v>
      </c>
    </row>
    <row r="30">
      <c r="A30" t="inlineStr">
        <is>
          <t>Before | May 28–Jul 14</t>
        </is>
      </c>
      <c r="B30" s="23" t="n">
        <v>46206</v>
      </c>
      <c r="C30" t="inlineStr">
        <is>
          <t>Jul 6, 2026, 3:20:00 PM</t>
        </is>
      </c>
      <c r="D30" t="inlineStr">
        <is>
          <t>36775</t>
        </is>
      </c>
      <c r="E30" t="inlineStr">
        <is>
          <t>ANDRIANO RARO</t>
        </is>
      </c>
      <c r="F30" t="inlineStr">
        <is>
          <t>MICHELIN 235/55/R18 PRIMACY 5 104W</t>
        </is>
      </c>
      <c r="G30" t="inlineStr">
        <is>
          <t>DEV</t>
        </is>
      </c>
      <c r="H30" t="inlineStr">
        <is>
          <t>Fulfilled</t>
        </is>
      </c>
      <c r="I30" t="inlineStr">
        <is>
          <t>DEV</t>
        </is>
      </c>
      <c r="J30" t="n">
        <v>4</v>
      </c>
      <c r="K30" t="inlineStr">
        <is>
          <t>Fully Paid</t>
        </is>
      </c>
      <c r="L30" t="inlineStr">
        <is>
          <t>Primacy 5</t>
        </is>
      </c>
      <c r="M30" t="inlineStr">
        <is>
          <t>09451555633</t>
        </is>
      </c>
      <c r="N30" t="inlineStr">
        <is>
          <t>andrianraro@gmail.com</t>
        </is>
      </c>
      <c r="O30" s="24" t="n">
        <v>35236.61</v>
      </c>
    </row>
    <row r="31">
      <c r="A31" t="inlineStr">
        <is>
          <t>Before | May 28–Jul 14</t>
        </is>
      </c>
      <c r="B31" s="23" t="n">
        <v>46207</v>
      </c>
      <c r="C31" t="inlineStr">
        <is>
          <t>Jul 6, 2026, 3:00:00 PM</t>
        </is>
      </c>
      <c r="D31" t="inlineStr">
        <is>
          <t>36801</t>
        </is>
      </c>
      <c r="E31" t="inlineStr">
        <is>
          <t>Carlo Capablanca</t>
        </is>
      </c>
      <c r="F31" t="inlineStr">
        <is>
          <t>MICHELIN 255/40/ZR19 PILOT SPORT 5 100Y</t>
        </is>
      </c>
      <c r="G31" t="inlineStr">
        <is>
          <t>AIRA</t>
        </is>
      </c>
      <c r="H31" t="inlineStr">
        <is>
          <t>Fulfilled</t>
        </is>
      </c>
      <c r="I31" t="inlineStr">
        <is>
          <t>AIRA</t>
        </is>
      </c>
      <c r="J31" t="n">
        <v>4</v>
      </c>
      <c r="K31" t="inlineStr">
        <is>
          <t>Fully Paid</t>
        </is>
      </c>
      <c r="L31" t="inlineStr">
        <is>
          <t>Pilot Sport 5</t>
        </is>
      </c>
      <c r="M31" t="inlineStr">
        <is>
          <t>0964-940-6577</t>
        </is>
      </c>
      <c r="N31" t="inlineStr">
        <is>
          <t>-@gmail.com</t>
        </is>
      </c>
      <c r="O31" s="24" t="n">
        <v>49107.14</v>
      </c>
    </row>
    <row r="32">
      <c r="A32" t="inlineStr">
        <is>
          <t>Before | May 28–Jul 14</t>
        </is>
      </c>
      <c r="B32" s="23" t="n">
        <v>46206</v>
      </c>
      <c r="C32" t="inlineStr">
        <is>
          <t>Jul 6, 2026, 1:00:00 PM</t>
        </is>
      </c>
      <c r="D32" t="inlineStr">
        <is>
          <t>36760</t>
        </is>
      </c>
      <c r="E32" t="inlineStr">
        <is>
          <t>Raffy Angelo Pagulayan</t>
        </is>
      </c>
      <c r="F32" t="inlineStr">
        <is>
          <t>MICHELIN 265/50/R20 PRIMACY 5 111V</t>
        </is>
      </c>
      <c r="G32" t="inlineStr">
        <is>
          <t>ROLYN ANG</t>
        </is>
      </c>
      <c r="H32" t="inlineStr">
        <is>
          <t>Fulfilled</t>
        </is>
      </c>
      <c r="I32" t="inlineStr">
        <is>
          <t>ROLYN ANG</t>
        </is>
      </c>
      <c r="J32" t="n">
        <v>4</v>
      </c>
      <c r="K32" t="inlineStr">
        <is>
          <t>Partial Payment</t>
        </is>
      </c>
      <c r="L32" t="inlineStr">
        <is>
          <t>Primacy 5</t>
        </is>
      </c>
      <c r="M32" t="inlineStr">
        <is>
          <t>0995-520-6498</t>
        </is>
      </c>
      <c r="N32" t="inlineStr">
        <is>
          <t>Raffypagulayan03@gmail.com</t>
        </is>
      </c>
      <c r="O32" s="24" t="n">
        <v>39285.71</v>
      </c>
    </row>
    <row r="33">
      <c r="A33" t="inlineStr">
        <is>
          <t>Before | May 28–Jul 14</t>
        </is>
      </c>
      <c r="B33" s="23" t="n">
        <v>46205</v>
      </c>
      <c r="C33" t="inlineStr">
        <is>
          <t>Jul 6, 2026, 12:29:00 PM</t>
        </is>
      </c>
      <c r="D33" t="inlineStr">
        <is>
          <t>36722</t>
        </is>
      </c>
      <c r="E33" t="inlineStr">
        <is>
          <t>MANUEL MIGUEL</t>
        </is>
      </c>
      <c r="F33" t="inlineStr">
        <is>
          <t>MICHELIN 235/45/ZR18 PILOT SPORT 5 98Y XL TL</t>
        </is>
      </c>
      <c r="G33" t="inlineStr">
        <is>
          <t>DEV</t>
        </is>
      </c>
      <c r="H33" t="inlineStr">
        <is>
          <t>Fulfilled</t>
        </is>
      </c>
      <c r="I33" t="inlineStr">
        <is>
          <t>DEV</t>
        </is>
      </c>
      <c r="J33" t="n">
        <v>4</v>
      </c>
      <c r="K33" t="inlineStr">
        <is>
          <t>Fully Paid</t>
        </is>
      </c>
      <c r="L33" t="inlineStr">
        <is>
          <t>Pilot Sport 5</t>
        </is>
      </c>
      <c r="M33" t="inlineStr">
        <is>
          <t>09688801585</t>
        </is>
      </c>
      <c r="N33" t="inlineStr">
        <is>
          <t>travelmate585@outlook.com</t>
        </is>
      </c>
      <c r="O33" s="24" t="n">
        <v>40017.86</v>
      </c>
    </row>
    <row r="34">
      <c r="A34" t="inlineStr">
        <is>
          <t>Before | May 28–Jul 14</t>
        </is>
      </c>
      <c r="B34" s="23" t="n">
        <v>46206</v>
      </c>
      <c r="C34" t="inlineStr">
        <is>
          <t>Jul 6, 2026, 9:00:00 AM</t>
        </is>
      </c>
      <c r="D34" t="inlineStr">
        <is>
          <t>36779</t>
        </is>
      </c>
      <c r="E34" t="inlineStr">
        <is>
          <t>Philip Savage</t>
        </is>
      </c>
      <c r="F34" t="inlineStr">
        <is>
          <t>MICHELIN 215/55/R16 PRIMACY 5 97W XL TL</t>
        </is>
      </c>
      <c r="G34" t="inlineStr">
        <is>
          <t>DEV</t>
        </is>
      </c>
      <c r="H34" t="inlineStr">
        <is>
          <t>Fulfilled</t>
        </is>
      </c>
      <c r="I34" t="inlineStr">
        <is>
          <t>DEV</t>
        </is>
      </c>
      <c r="J34" t="n">
        <v>4</v>
      </c>
      <c r="K34" t="inlineStr">
        <is>
          <t>Partial Payment</t>
        </is>
      </c>
      <c r="L34" t="inlineStr">
        <is>
          <t>Primacy 5</t>
        </is>
      </c>
      <c r="M34" t="inlineStr">
        <is>
          <t>09399358778</t>
        </is>
      </c>
      <c r="N34" t="inlineStr">
        <is>
          <t>savageindia00@gmail.com</t>
        </is>
      </c>
      <c r="O34" s="24" t="n">
        <v>28678.57</v>
      </c>
    </row>
    <row r="35">
      <c r="A35" t="inlineStr">
        <is>
          <t>Before | May 28–Jul 14</t>
        </is>
      </c>
      <c r="B35" s="23" t="n">
        <v>46206</v>
      </c>
      <c r="C35" t="inlineStr">
        <is>
          <t>Jul 6, 2026, 8:00:00 AM</t>
        </is>
      </c>
      <c r="D35" t="inlineStr">
        <is>
          <t>36780</t>
        </is>
      </c>
      <c r="E35" t="inlineStr">
        <is>
          <t>Hans Lubas</t>
        </is>
      </c>
      <c r="F35" t="inlineStr">
        <is>
          <t>MICHELIN 205/50/ZR16 PILOT SPORT 4 ST 91W XL TL</t>
        </is>
      </c>
      <c r="G35" t="inlineStr">
        <is>
          <t>DEV</t>
        </is>
      </c>
      <c r="H35" t="inlineStr">
        <is>
          <t>Fulfilled</t>
        </is>
      </c>
      <c r="I35" t="inlineStr">
        <is>
          <t>DEV</t>
        </is>
      </c>
      <c r="J35" t="n">
        <v>4</v>
      </c>
      <c r="K35" t="inlineStr">
        <is>
          <t>Fully Paid</t>
        </is>
      </c>
      <c r="L35" t="inlineStr">
        <is>
          <t>Pilot Sport 4 S</t>
        </is>
      </c>
      <c r="M35" t="inlineStr">
        <is>
          <t>09396394354</t>
        </is>
      </c>
      <c r="N35" t="inlineStr">
        <is>
          <t>hanschristianlubas@gmail.com</t>
        </is>
      </c>
      <c r="O35" s="24" t="n">
        <v>27991.07</v>
      </c>
    </row>
    <row r="36">
      <c r="A36" t="inlineStr">
        <is>
          <t>Before | May 28–Jul 14</t>
        </is>
      </c>
      <c r="B36" s="23" t="n">
        <v>46205</v>
      </c>
      <c r="C36" t="inlineStr">
        <is>
          <t>Jul 4, 2026, 1:00:00 PM</t>
        </is>
      </c>
      <c r="D36" t="inlineStr">
        <is>
          <t>36736</t>
        </is>
      </c>
      <c r="E36" t="inlineStr">
        <is>
          <t>Concie Groyon</t>
        </is>
      </c>
      <c r="F36" t="inlineStr">
        <is>
          <t>MICHELIN 225/55/R17 PRIMACY 5 101W</t>
        </is>
      </c>
      <c r="G36" t="inlineStr">
        <is>
          <t>REMYLYN</t>
        </is>
      </c>
      <c r="H36" t="inlineStr">
        <is>
          <t>Fulfilled</t>
        </is>
      </c>
      <c r="I36" t="inlineStr">
        <is>
          <t>REMYLYN</t>
        </is>
      </c>
      <c r="J36" t="n">
        <v>4</v>
      </c>
      <c r="K36" t="inlineStr">
        <is>
          <t>Fully Paid</t>
        </is>
      </c>
      <c r="L36" t="inlineStr">
        <is>
          <t>Primacy 5</t>
        </is>
      </c>
      <c r="M36" t="inlineStr">
        <is>
          <t>0915-855-0149</t>
        </is>
      </c>
      <c r="N36" t="inlineStr">
        <is>
          <t>concie.groyon@gmail.com</t>
        </is>
      </c>
      <c r="O36" s="24" t="n">
        <v>33187.5</v>
      </c>
    </row>
    <row r="37">
      <c r="A37" t="inlineStr">
        <is>
          <t>Before | May 28–Jul 14</t>
        </is>
      </c>
      <c r="B37" s="23" t="n">
        <v>46205</v>
      </c>
      <c r="C37" t="inlineStr">
        <is>
          <t>Jul 4, 2026, 10:00:00 AM</t>
        </is>
      </c>
      <c r="D37" t="inlineStr">
        <is>
          <t>36720</t>
        </is>
      </c>
      <c r="E37" t="inlineStr">
        <is>
          <t>Neil Carlo Espina</t>
        </is>
      </c>
      <c r="F37" t="inlineStr">
        <is>
          <t>MICHELIN 235/55/R19 PILOT SPORT 4 SUV 105Y</t>
        </is>
      </c>
      <c r="G37" t="inlineStr">
        <is>
          <t>DEV</t>
        </is>
      </c>
      <c r="H37" t="inlineStr">
        <is>
          <t>Fulfilled</t>
        </is>
      </c>
      <c r="I37" t="inlineStr">
        <is>
          <t>DEV</t>
        </is>
      </c>
      <c r="J37" t="n">
        <v>4</v>
      </c>
      <c r="K37" t="inlineStr">
        <is>
          <t>Fully Paid</t>
        </is>
      </c>
      <c r="L37" t="inlineStr">
        <is>
          <t>Pilot Sport 4 S</t>
        </is>
      </c>
      <c r="M37" t="inlineStr">
        <is>
          <t>09215615989</t>
        </is>
      </c>
      <c r="N37" t="inlineStr">
        <is>
          <t>neilcarlo.espina@gmail.com</t>
        </is>
      </c>
      <c r="O37" s="24" t="n">
        <v>56250</v>
      </c>
    </row>
    <row r="38">
      <c r="A38" t="inlineStr">
        <is>
          <t>Before | May 28–Jul 14</t>
        </is>
      </c>
      <c r="B38" s="23" t="n">
        <v>46205</v>
      </c>
      <c r="C38" t="inlineStr">
        <is>
          <t>Jul 4, 2026, 9:00:00 AM</t>
        </is>
      </c>
      <c r="D38" t="inlineStr">
        <is>
          <t>36747</t>
        </is>
      </c>
      <c r="E38" t="inlineStr">
        <is>
          <t>Carl Tan</t>
        </is>
      </c>
      <c r="F38" t="inlineStr">
        <is>
          <t>MICHELIN 205/65/R16 PRIMACY 5 95W</t>
        </is>
      </c>
      <c r="G38" t="inlineStr">
        <is>
          <t>ROLYN ANG</t>
        </is>
      </c>
      <c r="H38" t="inlineStr">
        <is>
          <t>Fulfilled</t>
        </is>
      </c>
      <c r="I38" t="inlineStr">
        <is>
          <t>ROLYN ANG</t>
        </is>
      </c>
      <c r="J38" t="n">
        <v>4</v>
      </c>
      <c r="K38" t="inlineStr">
        <is>
          <t>Fully Paid</t>
        </is>
      </c>
      <c r="L38" t="inlineStr">
        <is>
          <t>Primacy 5</t>
        </is>
      </c>
      <c r="M38" t="inlineStr">
        <is>
          <t>0906-298-9617</t>
        </is>
      </c>
      <c r="N38" t="inlineStr">
        <is>
          <t>carllenardtan@gmail.com</t>
        </is>
      </c>
      <c r="O38" s="24" t="n">
        <v>21133.93</v>
      </c>
    </row>
    <row r="39">
      <c r="A39" t="inlineStr">
        <is>
          <t>Before | May 28–Jul 14</t>
        </is>
      </c>
      <c r="B39" s="23" t="n">
        <v>46203</v>
      </c>
      <c r="C39" t="inlineStr">
        <is>
          <t>Jul 3, 2026, 9:00:00 AM</t>
        </is>
      </c>
      <c r="D39" t="inlineStr">
        <is>
          <t>36633</t>
        </is>
      </c>
      <c r="E39" t="inlineStr">
        <is>
          <t>Cary Carl Caumeran</t>
        </is>
      </c>
      <c r="F39" t="inlineStr">
        <is>
          <t>MICHELIN 265/50/R20 PRIMACY 5 111V</t>
        </is>
      </c>
      <c r="G39" t="inlineStr">
        <is>
          <t>DEV</t>
        </is>
      </c>
      <c r="H39" t="inlineStr">
        <is>
          <t>Fulfilled</t>
        </is>
      </c>
      <c r="I39" t="inlineStr">
        <is>
          <t>DEV</t>
        </is>
      </c>
      <c r="J39" t="n">
        <v>4</v>
      </c>
      <c r="K39" t="inlineStr">
        <is>
          <t>Fully Paid</t>
        </is>
      </c>
      <c r="L39" t="inlineStr">
        <is>
          <t>Primacy 5</t>
        </is>
      </c>
      <c r="M39" t="inlineStr">
        <is>
          <t>09062842304</t>
        </is>
      </c>
      <c r="N39" t="inlineStr">
        <is>
          <t>butlervisionary@gmail.com</t>
        </is>
      </c>
      <c r="O39" s="24" t="n">
        <v>39625</v>
      </c>
    </row>
    <row r="40">
      <c r="A40" t="inlineStr">
        <is>
          <t>Before | May 28–Jul 14</t>
        </is>
      </c>
      <c r="B40" s="23" t="n">
        <v>46204</v>
      </c>
      <c r="C40" t="inlineStr">
        <is>
          <t>Jul 2, 2026, 11:00:00 AM</t>
        </is>
      </c>
      <c r="D40" t="inlineStr">
        <is>
          <t>36677</t>
        </is>
      </c>
      <c r="E40" t="inlineStr">
        <is>
          <t>Jerson Joshua Cabuguas</t>
        </is>
      </c>
      <c r="F40" t="inlineStr">
        <is>
          <t>MICHELIN 245/40/ZR18 PILOT SPORT 5 97Y XL TL</t>
        </is>
      </c>
      <c r="G40" t="inlineStr">
        <is>
          <t>DEV</t>
        </is>
      </c>
      <c r="H40" t="inlineStr">
        <is>
          <t>Fulfilled</t>
        </is>
      </c>
      <c r="I40" t="inlineStr">
        <is>
          <t>DEV</t>
        </is>
      </c>
      <c r="J40" t="n">
        <v>4</v>
      </c>
      <c r="K40" t="inlineStr">
        <is>
          <t>Fully Paid</t>
        </is>
      </c>
      <c r="L40" t="inlineStr">
        <is>
          <t>Pilot Sport 5</t>
        </is>
      </c>
      <c r="M40" t="inlineStr">
        <is>
          <t>09397303444</t>
        </is>
      </c>
      <c r="N40" t="inlineStr">
        <is>
          <t>jersonjoshua27@gmail.com</t>
        </is>
      </c>
      <c r="O40" s="24" t="n">
        <v>39419.64</v>
      </c>
    </row>
    <row r="41">
      <c r="A41" t="inlineStr">
        <is>
          <t>Before | May 28–Jul 14</t>
        </is>
      </c>
      <c r="B41" s="23" t="n">
        <v>46202</v>
      </c>
      <c r="C41" t="inlineStr">
        <is>
          <t>Jul 2, 2026, 8:00:00 AM</t>
        </is>
      </c>
      <c r="D41" t="inlineStr">
        <is>
          <t>36555</t>
        </is>
      </c>
      <c r="E41" t="inlineStr">
        <is>
          <t>Christopher Neil Tan</t>
        </is>
      </c>
      <c r="F41" t="inlineStr">
        <is>
          <t>MICHELIN 205/45/R17 PILOT SPORT 5 88Y</t>
        </is>
      </c>
      <c r="G41" t="inlineStr">
        <is>
          <t>DEV</t>
        </is>
      </c>
      <c r="H41" t="inlineStr">
        <is>
          <t>Fulfilled</t>
        </is>
      </c>
      <c r="I41" t="inlineStr">
        <is>
          <t>DEV</t>
        </is>
      </c>
      <c r="J41" t="n">
        <v>4</v>
      </c>
      <c r="K41" t="inlineStr">
        <is>
          <t>Partial Payment</t>
        </is>
      </c>
      <c r="L41" t="inlineStr">
        <is>
          <t>Pilot Sport 5</t>
        </is>
      </c>
      <c r="M41" t="inlineStr">
        <is>
          <t>09173011887</t>
        </is>
      </c>
      <c r="N41" t="inlineStr">
        <is>
          <t>chrstphr_tan@yahoo.com</t>
        </is>
      </c>
      <c r="O41" s="24" t="n">
        <v>33696.43</v>
      </c>
    </row>
    <row r="42">
      <c r="A42" t="inlineStr">
        <is>
          <t>Before | May 28–Jul 14</t>
        </is>
      </c>
      <c r="B42" s="23" t="n">
        <v>46202</v>
      </c>
      <c r="C42" t="inlineStr">
        <is>
          <t>Jul 1, 2026, 10:00:00 AM</t>
        </is>
      </c>
      <c r="D42" t="inlineStr">
        <is>
          <t>36603</t>
        </is>
      </c>
      <c r="E42" t="inlineStr">
        <is>
          <t>Leigh Angeline Balanon</t>
        </is>
      </c>
      <c r="F42" t="inlineStr">
        <is>
          <t>MICHELIN 215/50/R17 PRIMACY 5 95W XL</t>
        </is>
      </c>
      <c r="G42" t="inlineStr">
        <is>
          <t>ROLYN ANG</t>
        </is>
      </c>
      <c r="H42" t="inlineStr">
        <is>
          <t>Fulfilled</t>
        </is>
      </c>
      <c r="I42" t="inlineStr">
        <is>
          <t>ROLYN ANG</t>
        </is>
      </c>
      <c r="J42" t="n">
        <v>4</v>
      </c>
      <c r="K42" t="inlineStr">
        <is>
          <t>Partial Payment</t>
        </is>
      </c>
      <c r="L42" t="inlineStr">
        <is>
          <t>Primacy 5</t>
        </is>
      </c>
      <c r="M42" t="inlineStr">
        <is>
          <t>0992-675-5606</t>
        </is>
      </c>
      <c r="N42" t="inlineStr">
        <is>
          <t>leighangelinesudiacal14@gmail.com</t>
        </is>
      </c>
      <c r="O42" s="24" t="n">
        <v>29464.29</v>
      </c>
    </row>
    <row r="43">
      <c r="A43" t="inlineStr">
        <is>
          <t>Before | May 28–Jul 14</t>
        </is>
      </c>
      <c r="B43" s="23" t="n">
        <v>46201</v>
      </c>
      <c r="C43" t="inlineStr">
        <is>
          <t>Jun 30, 2026, 1:00:00 PM</t>
        </is>
      </c>
      <c r="D43" t="inlineStr">
        <is>
          <t>36541</t>
        </is>
      </c>
      <c r="E43" t="inlineStr">
        <is>
          <t>Hirohito Tamparong</t>
        </is>
      </c>
      <c r="F43" t="inlineStr">
        <is>
          <t>MICHELIN 215/60/R17 PRIMACY 5 100V</t>
        </is>
      </c>
      <c r="G43" t="inlineStr">
        <is>
          <t>TAIRA</t>
        </is>
      </c>
      <c r="H43" t="inlineStr">
        <is>
          <t>Fulfilled</t>
        </is>
      </c>
      <c r="I43" t="inlineStr">
        <is>
          <t>SARAH MAE MANANSALA</t>
        </is>
      </c>
      <c r="J43" t="n">
        <v>4</v>
      </c>
      <c r="K43" t="inlineStr">
        <is>
          <t>Partial Payment</t>
        </is>
      </c>
      <c r="L43" t="inlineStr">
        <is>
          <t>Primacy 5</t>
        </is>
      </c>
      <c r="M43" t="inlineStr">
        <is>
          <t>0917-864-8216</t>
        </is>
      </c>
      <c r="N43" t="inlineStr">
        <is>
          <t>hirohitotamparong@gmail.com</t>
        </is>
      </c>
      <c r="O43" s="24" t="n">
        <v>31245.54</v>
      </c>
    </row>
    <row r="44">
      <c r="A44" t="inlineStr">
        <is>
          <t>Before | May 28–Jul 14</t>
        </is>
      </c>
      <c r="B44" s="23" t="n">
        <v>46202</v>
      </c>
      <c r="C44" t="inlineStr">
        <is>
          <t>Jun 30, 2026, 11:00:00 AM</t>
        </is>
      </c>
      <c r="D44" t="inlineStr">
        <is>
          <t>36572</t>
        </is>
      </c>
      <c r="E44" t="inlineStr">
        <is>
          <t>Edgar U Ortiz Jr</t>
        </is>
      </c>
      <c r="F44" t="inlineStr">
        <is>
          <t>MICHELIN 205/65/R16 PRIMACY 5 95W</t>
        </is>
      </c>
      <c r="G44" t="inlineStr">
        <is>
          <t>DEV</t>
        </is>
      </c>
      <c r="H44" t="inlineStr">
        <is>
          <t>Fulfilled</t>
        </is>
      </c>
      <c r="I44" t="inlineStr">
        <is>
          <t>DEV</t>
        </is>
      </c>
      <c r="J44" t="n">
        <v>4</v>
      </c>
      <c r="K44" t="inlineStr">
        <is>
          <t>Fully Paid</t>
        </is>
      </c>
      <c r="L44" t="inlineStr">
        <is>
          <t>Primacy 5</t>
        </is>
      </c>
      <c r="M44" t="inlineStr">
        <is>
          <t>09760909175</t>
        </is>
      </c>
      <c r="N44" t="inlineStr">
        <is>
          <t>edgaruortiz@gmail.com</t>
        </is>
      </c>
      <c r="O44" s="24" t="n">
        <v>20330.36</v>
      </c>
    </row>
    <row r="45">
      <c r="A45" t="inlineStr">
        <is>
          <t>Before | May 28–Jul 14</t>
        </is>
      </c>
      <c r="B45" s="23" t="n">
        <v>46195</v>
      </c>
      <c r="C45" t="inlineStr">
        <is>
          <t>Jun 30, 2026, 9:00:00 AM</t>
        </is>
      </c>
      <c r="D45" t="inlineStr">
        <is>
          <t>36301</t>
        </is>
      </c>
      <c r="E45" t="inlineStr">
        <is>
          <t>edsel gonzales</t>
        </is>
      </c>
      <c r="F45" t="inlineStr">
        <is>
          <t>MICHELIN 215/55/R18 PRIMACY 5 99V</t>
        </is>
      </c>
      <c r="G45" t="inlineStr">
        <is>
          <t>SARAH MAE MANANSALA</t>
        </is>
      </c>
      <c r="H45" t="inlineStr">
        <is>
          <t>Fulfilled</t>
        </is>
      </c>
      <c r="I45" t="inlineStr">
        <is>
          <t>SARAH MAE MANANSALA</t>
        </is>
      </c>
      <c r="J45" t="n">
        <v>4</v>
      </c>
      <c r="K45" t="inlineStr">
        <is>
          <t>Fully Paid</t>
        </is>
      </c>
      <c r="L45" t="inlineStr">
        <is>
          <t>Primacy 5</t>
        </is>
      </c>
      <c r="M45" t="inlineStr">
        <is>
          <t>0939-520-7212</t>
        </is>
      </c>
      <c r="N45" t="inlineStr">
        <is>
          <t>edselgonzales94@gmail.com</t>
        </is>
      </c>
      <c r="O45" s="24" t="n">
        <v>41071.43</v>
      </c>
    </row>
    <row r="46">
      <c r="A46" t="inlineStr">
        <is>
          <t>Before | May 28–Jul 14</t>
        </is>
      </c>
      <c r="B46" s="23" t="n">
        <v>46198</v>
      </c>
      <c r="C46" t="inlineStr">
        <is>
          <t>Jun 29, 2026, 2:00:00 PM</t>
        </is>
      </c>
      <c r="D46" t="inlineStr">
        <is>
          <t>36447</t>
        </is>
      </c>
      <c r="E46" t="inlineStr">
        <is>
          <t>Ma Eliza Gomez</t>
        </is>
      </c>
      <c r="F46" t="inlineStr">
        <is>
          <t>MICHELIN 205/65/R16 PRIMACY 5 95W</t>
        </is>
      </c>
      <c r="G46" t="inlineStr">
        <is>
          <t>DEV</t>
        </is>
      </c>
      <c r="H46" t="inlineStr">
        <is>
          <t>Fulfilled</t>
        </is>
      </c>
      <c r="I46" t="inlineStr">
        <is>
          <t>DEV</t>
        </is>
      </c>
      <c r="J46" t="n">
        <v>4</v>
      </c>
      <c r="K46" t="inlineStr">
        <is>
          <t>Fully Paid</t>
        </is>
      </c>
      <c r="L46" t="inlineStr">
        <is>
          <t>Primacy 5</t>
        </is>
      </c>
      <c r="M46" t="inlineStr">
        <is>
          <t>09381239750</t>
        </is>
      </c>
      <c r="N46" t="inlineStr">
        <is>
          <t>elizagomez.gls@gmail.com</t>
        </is>
      </c>
      <c r="O46" s="24" t="n">
        <v>20598.21</v>
      </c>
    </row>
    <row r="47">
      <c r="A47" t="inlineStr">
        <is>
          <t>Before | May 28–Jul 14</t>
        </is>
      </c>
      <c r="B47" s="23" t="n">
        <v>46198</v>
      </c>
      <c r="C47" t="inlineStr">
        <is>
          <t>Jun 26, 2026, 3:00:00 PM</t>
        </is>
      </c>
      <c r="D47" t="inlineStr">
        <is>
          <t>36458</t>
        </is>
      </c>
      <c r="E47" t="inlineStr">
        <is>
          <t>Randy Aguinaldo</t>
        </is>
      </c>
      <c r="F47" t="inlineStr">
        <is>
          <t>MICHELIN 225/55/R18 PRIMACY 5 102V</t>
        </is>
      </c>
      <c r="G47" t="inlineStr">
        <is>
          <t>REMYLYN</t>
        </is>
      </c>
      <c r="H47" t="inlineStr">
        <is>
          <t>Fulfilled</t>
        </is>
      </c>
      <c r="I47" t="inlineStr">
        <is>
          <t>REMYLYN</t>
        </is>
      </c>
      <c r="J47" t="n">
        <v>4</v>
      </c>
      <c r="K47" t="inlineStr">
        <is>
          <t>Fully Paid</t>
        </is>
      </c>
      <c r="L47" t="inlineStr">
        <is>
          <t>Primacy 5</t>
        </is>
      </c>
      <c r="M47" t="inlineStr">
        <is>
          <t>0919-063-4105</t>
        </is>
      </c>
      <c r="N47" t="inlineStr">
        <is>
          <t>ranaguinaldo@gmail.com</t>
        </is>
      </c>
      <c r="O47" s="24" t="n">
        <v>35799.11</v>
      </c>
    </row>
    <row r="48">
      <c r="A48" t="inlineStr">
        <is>
          <t>Before | May 28–Jul 14</t>
        </is>
      </c>
      <c r="B48" s="23" t="n">
        <v>46198</v>
      </c>
      <c r="C48" t="inlineStr">
        <is>
          <t>Jun 26, 2026, 10:00:00 AM</t>
        </is>
      </c>
      <c r="D48" t="inlineStr">
        <is>
          <t>36463</t>
        </is>
      </c>
      <c r="E48" t="inlineStr">
        <is>
          <t>JOMIL A. ABRANTES</t>
        </is>
      </c>
      <c r="F48" t="inlineStr">
        <is>
          <t>MICHELIN 235/55/R18 PRIMACY 5 104W</t>
        </is>
      </c>
      <c r="G48" t="inlineStr">
        <is>
          <t>ROLYN ANG</t>
        </is>
      </c>
      <c r="H48" t="inlineStr">
        <is>
          <t>Fulfilled</t>
        </is>
      </c>
      <c r="I48" t="inlineStr">
        <is>
          <t>ROLYN ANG</t>
        </is>
      </c>
      <c r="J48" t="n">
        <v>4</v>
      </c>
      <c r="K48" t="inlineStr">
        <is>
          <t>Partial Payment</t>
        </is>
      </c>
      <c r="L48" t="inlineStr">
        <is>
          <t>Primacy 5</t>
        </is>
      </c>
      <c r="M48" t="inlineStr">
        <is>
          <t>0994-580-6750</t>
        </is>
      </c>
      <c r="N48" t="inlineStr">
        <is>
          <t>yenohjoy29@gmail.com</t>
        </is>
      </c>
      <c r="O48" s="24" t="n">
        <v>35714.29</v>
      </c>
    </row>
    <row r="49">
      <c r="A49" t="inlineStr">
        <is>
          <t>Before | May 28–Jul 14</t>
        </is>
      </c>
      <c r="B49" s="23" t="n">
        <v>46197</v>
      </c>
      <c r="C49" t="inlineStr">
        <is>
          <t>Jun 25, 2026, 3:00:00 PM</t>
        </is>
      </c>
      <c r="D49" t="inlineStr">
        <is>
          <t>36416</t>
        </is>
      </c>
      <c r="E49" t="inlineStr">
        <is>
          <t>Romel Lorica</t>
        </is>
      </c>
      <c r="F49" t="inlineStr">
        <is>
          <t>MICHELIN 235/45/ZR18 PILOT SPORT 5 98Y XL TL</t>
        </is>
      </c>
      <c r="G49" t="inlineStr">
        <is>
          <t>AIRA</t>
        </is>
      </c>
      <c r="H49" t="inlineStr">
        <is>
          <t>Fulfilled</t>
        </is>
      </c>
      <c r="I49" t="inlineStr">
        <is>
          <t>AIRA</t>
        </is>
      </c>
      <c r="J49" t="n">
        <v>4</v>
      </c>
      <c r="K49" t="inlineStr">
        <is>
          <t>Fully Paid</t>
        </is>
      </c>
      <c r="L49" t="inlineStr">
        <is>
          <t>Pilot Sport 5</t>
        </is>
      </c>
      <c r="M49" t="inlineStr">
        <is>
          <t>0917-105-9186</t>
        </is>
      </c>
      <c r="N49" t="inlineStr">
        <is>
          <t>romellorica1082@gmail.com</t>
        </is>
      </c>
      <c r="O49" s="24" t="n">
        <v>39285.71</v>
      </c>
    </row>
    <row r="50">
      <c r="A50" t="inlineStr">
        <is>
          <t>Before | May 28–Jul 14</t>
        </is>
      </c>
      <c r="B50" s="23" t="n">
        <v>46195</v>
      </c>
      <c r="C50" t="inlineStr">
        <is>
          <t>Jun 25, 2026, 1:00:00 PM</t>
        </is>
      </c>
      <c r="D50" t="inlineStr">
        <is>
          <t>36293</t>
        </is>
      </c>
      <c r="E50" t="inlineStr">
        <is>
          <t>Ruel Lagtapon</t>
        </is>
      </c>
      <c r="F50" t="inlineStr">
        <is>
          <t>MICHELIN 265/50/R20 PILOT SPORT 4 SUV 107V</t>
        </is>
      </c>
      <c r="G50" t="inlineStr">
        <is>
          <t>ROLYN ANG</t>
        </is>
      </c>
      <c r="H50" t="inlineStr">
        <is>
          <t>Fulfilled</t>
        </is>
      </c>
      <c r="I50" t="inlineStr">
        <is>
          <t>ROLYN ANG</t>
        </is>
      </c>
      <c r="J50" t="n">
        <v>4</v>
      </c>
      <c r="K50" t="inlineStr">
        <is>
          <t>Fully Paid</t>
        </is>
      </c>
      <c r="L50" t="inlineStr">
        <is>
          <t>Pilot Sport 4 S</t>
        </is>
      </c>
      <c r="M50" t="inlineStr">
        <is>
          <t>09178135068</t>
        </is>
      </c>
      <c r="N50" t="inlineStr">
        <is>
          <t>ruellagtapon@yahoo.com</t>
        </is>
      </c>
      <c r="O50" s="24" t="n">
        <v>42776.79</v>
      </c>
    </row>
    <row r="51">
      <c r="A51" t="inlineStr">
        <is>
          <t>Before | May 28–Jul 14</t>
        </is>
      </c>
      <c r="B51" s="23" t="n">
        <v>46197</v>
      </c>
      <c r="C51" t="inlineStr">
        <is>
          <t>Jun 24, 2026, 3:00:00 PM</t>
        </is>
      </c>
      <c r="D51" t="inlineStr">
        <is>
          <t>36396</t>
        </is>
      </c>
      <c r="E51" t="inlineStr">
        <is>
          <t>MARINEL FEBRIA</t>
        </is>
      </c>
      <c r="F51" t="inlineStr">
        <is>
          <t>MICHELIN 215/60/R17 PRIMACY 5 100V</t>
        </is>
      </c>
      <c r="G51" t="inlineStr">
        <is>
          <t>DEV</t>
        </is>
      </c>
      <c r="H51" t="inlineStr">
        <is>
          <t>Fulfilled</t>
        </is>
      </c>
      <c r="I51" t="inlineStr">
        <is>
          <t>DEV</t>
        </is>
      </c>
      <c r="J51" t="n">
        <v>5</v>
      </c>
      <c r="K51" t="inlineStr">
        <is>
          <t>Fully Paid</t>
        </is>
      </c>
      <c r="L51" t="inlineStr">
        <is>
          <t>Primacy 5</t>
        </is>
      </c>
      <c r="M51" t="inlineStr">
        <is>
          <t>0961-762-4076</t>
        </is>
      </c>
      <c r="N51" t="inlineStr">
        <is>
          <t>marinelanora11@gmail.com</t>
        </is>
      </c>
      <c r="O51" s="24" t="n">
        <v>41660.71</v>
      </c>
    </row>
    <row r="52">
      <c r="A52" t="inlineStr">
        <is>
          <t>Before | May 28–Jul 14</t>
        </is>
      </c>
      <c r="B52" s="23" t="n">
        <v>46186</v>
      </c>
      <c r="C52" t="inlineStr">
        <is>
          <t>Jun 24, 2026, 1:00:00 PM</t>
        </is>
      </c>
      <c r="D52" t="inlineStr">
        <is>
          <t>36029</t>
        </is>
      </c>
      <c r="E52" t="inlineStr">
        <is>
          <t>Audie Santibanez</t>
        </is>
      </c>
      <c r="F52" t="inlineStr">
        <is>
          <t>MICHELIN 235/50/R19 PRIMACY 5 103W</t>
        </is>
      </c>
      <c r="G52" t="inlineStr">
        <is>
          <t>DEV</t>
        </is>
      </c>
      <c r="H52" t="inlineStr">
        <is>
          <t>Fulfilled</t>
        </is>
      </c>
      <c r="I52" t="inlineStr">
        <is>
          <t>DEV</t>
        </is>
      </c>
      <c r="J52" t="n">
        <v>4</v>
      </c>
      <c r="K52" t="inlineStr">
        <is>
          <t>Fully Paid</t>
        </is>
      </c>
      <c r="L52" t="inlineStr">
        <is>
          <t>Primacy 5</t>
        </is>
      </c>
      <c r="M52" t="inlineStr">
        <is>
          <t>09209458340</t>
        </is>
      </c>
      <c r="N52" t="inlineStr">
        <is>
          <t>mekeni.pamp@gmail.com</t>
        </is>
      </c>
      <c r="O52" s="24" t="n">
        <v>46205.36</v>
      </c>
    </row>
    <row r="53">
      <c r="A53" t="inlineStr">
        <is>
          <t>Before | May 28–Jul 14</t>
        </is>
      </c>
      <c r="B53" s="23" t="n">
        <v>46196</v>
      </c>
      <c r="C53" t="inlineStr">
        <is>
          <t>Jun 24, 2026, 8:00:00 AM</t>
        </is>
      </c>
      <c r="D53" t="inlineStr">
        <is>
          <t>36375</t>
        </is>
      </c>
      <c r="E53" t="inlineStr">
        <is>
          <t>Oliver Martinez</t>
        </is>
      </c>
      <c r="F53" t="inlineStr">
        <is>
          <t>MICHELIN 235/50/R19 PRIMACY 5 103W</t>
        </is>
      </c>
      <c r="G53" t="inlineStr">
        <is>
          <t>AIRA</t>
        </is>
      </c>
      <c r="H53" t="inlineStr">
        <is>
          <t>Fulfilled</t>
        </is>
      </c>
      <c r="I53" t="inlineStr">
        <is>
          <t>AIRA</t>
        </is>
      </c>
      <c r="J53" t="n">
        <v>4</v>
      </c>
      <c r="K53" t="inlineStr">
        <is>
          <t>Partial Payment</t>
        </is>
      </c>
      <c r="L53" t="inlineStr">
        <is>
          <t>Primacy 5</t>
        </is>
      </c>
      <c r="M53" t="inlineStr">
        <is>
          <t>0999-366-0119</t>
        </is>
      </c>
      <c r="N53" t="inlineStr">
        <is>
          <t>nemoryoliver@gmail.com</t>
        </is>
      </c>
      <c r="O53" s="24" t="n">
        <v>44330.36</v>
      </c>
    </row>
    <row r="54">
      <c r="A54" t="inlineStr">
        <is>
          <t>Before | May 28–Jul 14</t>
        </is>
      </c>
      <c r="B54" s="23" t="n">
        <v>46195</v>
      </c>
      <c r="C54" t="inlineStr">
        <is>
          <t>Jun 23, 2026, 3:00:00 PM</t>
        </is>
      </c>
      <c r="D54" t="inlineStr">
        <is>
          <t>36323</t>
        </is>
      </c>
      <c r="E54" t="inlineStr">
        <is>
          <t>Diego Masumoto</t>
        </is>
      </c>
      <c r="F54" t="inlineStr">
        <is>
          <t>MICHELIN 235/55/R19 PILOT SPORT 4 SUV 105Y</t>
        </is>
      </c>
      <c r="G54" t="inlineStr">
        <is>
          <t>DEV</t>
        </is>
      </c>
      <c r="H54" t="inlineStr">
        <is>
          <t>Fulfilled</t>
        </is>
      </c>
      <c r="I54" t="inlineStr">
        <is>
          <t>DEV</t>
        </is>
      </c>
      <c r="J54" t="n">
        <v>4</v>
      </c>
      <c r="K54" t="inlineStr">
        <is>
          <t>Fully Paid</t>
        </is>
      </c>
      <c r="L54" t="inlineStr">
        <is>
          <t>Pilot Sport 4 S</t>
        </is>
      </c>
      <c r="M54" t="inlineStr">
        <is>
          <t>0960-461-1706</t>
        </is>
      </c>
      <c r="N54" t="inlineStr">
        <is>
          <t>diegomasumoto@gmail.com</t>
        </is>
      </c>
      <c r="O54" s="24" t="n">
        <v>58035.71</v>
      </c>
    </row>
    <row r="55">
      <c r="A55" t="inlineStr">
        <is>
          <t>Before | May 28–Jul 14</t>
        </is>
      </c>
      <c r="B55" s="23" t="n">
        <v>46195</v>
      </c>
      <c r="C55" t="inlineStr">
        <is>
          <t>Jun 22, 2026, 3:00:00 PM</t>
        </is>
      </c>
      <c r="D55" t="inlineStr">
        <is>
          <t>36291</t>
        </is>
      </c>
      <c r="E55" t="inlineStr">
        <is>
          <t>john darwin quiambao</t>
        </is>
      </c>
      <c r="F55" t="inlineStr">
        <is>
          <t>MICHELIN 245/35/ZR20 PILOT SPORT 5 95Y</t>
        </is>
      </c>
      <c r="G55" t="inlineStr">
        <is>
          <t>SARAH MAE MANANSALA</t>
        </is>
      </c>
      <c r="H55" t="inlineStr">
        <is>
          <t>Fulfilled</t>
        </is>
      </c>
      <c r="I55" t="inlineStr">
        <is>
          <t>SARAH MAE MANANSALA</t>
        </is>
      </c>
      <c r="J55" t="n">
        <v>4</v>
      </c>
      <c r="K55" t="inlineStr">
        <is>
          <t>Fully Paid</t>
        </is>
      </c>
      <c r="L55" t="inlineStr">
        <is>
          <t>Pilot Sport 5</t>
        </is>
      </c>
      <c r="M55" t="inlineStr">
        <is>
          <t>0960-218-2961</t>
        </is>
      </c>
      <c r="N55" t="inlineStr">
        <is>
          <t>jdquiambao2@gmail.com</t>
        </is>
      </c>
      <c r="O55" s="24" t="n">
        <v>62500</v>
      </c>
    </row>
    <row r="56">
      <c r="A56" t="inlineStr">
        <is>
          <t>Before | May 28–Jul 14</t>
        </is>
      </c>
      <c r="B56" s="23" t="n">
        <v>46189</v>
      </c>
      <c r="C56" t="inlineStr">
        <is>
          <t>Jun 22, 2026, 11:00:00 AM</t>
        </is>
      </c>
      <c r="D56" t="inlineStr">
        <is>
          <t>36134</t>
        </is>
      </c>
      <c r="E56" t="inlineStr">
        <is>
          <t>Roby Sabulao</t>
        </is>
      </c>
      <c r="F56" t="inlineStr">
        <is>
          <t>MICHELIN 235/60/R18 PILOT SPORT 4 SUV 107W</t>
        </is>
      </c>
      <c r="G56" t="inlineStr">
        <is>
          <t>DEV</t>
        </is>
      </c>
      <c r="H56" t="inlineStr">
        <is>
          <t>Fulfilled</t>
        </is>
      </c>
      <c r="I56" t="inlineStr">
        <is>
          <t>DEV</t>
        </is>
      </c>
      <c r="J56" t="n">
        <v>4</v>
      </c>
      <c r="K56" t="inlineStr">
        <is>
          <t>Fully Paid</t>
        </is>
      </c>
      <c r="L56" t="inlineStr">
        <is>
          <t>Pilot Sport 4 S</t>
        </is>
      </c>
      <c r="M56" t="inlineStr">
        <is>
          <t>09494443169</t>
        </is>
      </c>
      <c r="N56" t="inlineStr">
        <is>
          <t>robysabulao@gmail.com</t>
        </is>
      </c>
      <c r="O56" s="24" t="n">
        <v>45160.71</v>
      </c>
    </row>
    <row r="57">
      <c r="A57" t="inlineStr">
        <is>
          <t>Before | May 28–Jul 14</t>
        </is>
      </c>
      <c r="B57" s="23" t="n">
        <v>46191</v>
      </c>
      <c r="C57" t="inlineStr">
        <is>
          <t>Jun 22, 2026, 9:00:00 AM</t>
        </is>
      </c>
      <c r="D57" t="inlineStr">
        <is>
          <t>36185</t>
        </is>
      </c>
      <c r="E57" t="inlineStr">
        <is>
          <t>Nanding A. Bancoro</t>
        </is>
      </c>
      <c r="F57" t="inlineStr">
        <is>
          <t>MICHELIN 245/40/ZR19 PILOT SPORT 5 98Y</t>
        </is>
      </c>
      <c r="G57" t="inlineStr">
        <is>
          <t>ROLYN ANG</t>
        </is>
      </c>
      <c r="H57" t="inlineStr">
        <is>
          <t>Fulfilled</t>
        </is>
      </c>
      <c r="I57" t="inlineStr">
        <is>
          <t>ROLYN ANG</t>
        </is>
      </c>
      <c r="J57" t="n">
        <v>4</v>
      </c>
      <c r="K57" t="inlineStr">
        <is>
          <t>Fully Paid</t>
        </is>
      </c>
      <c r="L57" t="inlineStr">
        <is>
          <t>Pilot Sport 5</t>
        </is>
      </c>
      <c r="M57" t="inlineStr">
        <is>
          <t>0917-887-6329</t>
        </is>
      </c>
      <c r="N57" t="inlineStr">
        <is>
          <t>nandz088@gmail.com</t>
        </is>
      </c>
      <c r="O57" s="24" t="n">
        <v>52678.57</v>
      </c>
    </row>
    <row r="58">
      <c r="A58" t="inlineStr">
        <is>
          <t>Before | May 28–Jul 14</t>
        </is>
      </c>
      <c r="B58" s="23" t="n">
        <v>46189</v>
      </c>
      <c r="C58" t="inlineStr">
        <is>
          <t>Jun 22, 2026, 9:00:00 AM</t>
        </is>
      </c>
      <c r="D58" t="inlineStr">
        <is>
          <t>36142</t>
        </is>
      </c>
      <c r="E58" t="inlineStr">
        <is>
          <t>Jerome Mesina</t>
        </is>
      </c>
      <c r="F58" t="inlineStr">
        <is>
          <t>MICHELIN 235/50/R19 PRIMACY 5 103W</t>
        </is>
      </c>
      <c r="G58" t="inlineStr">
        <is>
          <t>DEV</t>
        </is>
      </c>
      <c r="H58" t="inlineStr">
        <is>
          <t>Fulfilled</t>
        </is>
      </c>
      <c r="I58" t="inlineStr">
        <is>
          <t>DEV</t>
        </is>
      </c>
      <c r="J58" t="n">
        <v>4</v>
      </c>
      <c r="K58" t="inlineStr">
        <is>
          <t>Fully Paid</t>
        </is>
      </c>
      <c r="L58" t="inlineStr">
        <is>
          <t>Primacy 5</t>
        </is>
      </c>
      <c r="M58" t="inlineStr">
        <is>
          <t>0928-501-3476</t>
        </is>
      </c>
      <c r="N58" t="inlineStr">
        <is>
          <t>mesinajed@gmail.com</t>
        </is>
      </c>
      <c r="O58" s="24" t="n">
        <v>47008.93</v>
      </c>
    </row>
    <row r="59">
      <c r="A59" t="inlineStr">
        <is>
          <t>Before | May 28–Jul 14</t>
        </is>
      </c>
      <c r="B59" s="23" t="n">
        <v>46191</v>
      </c>
      <c r="C59" t="inlineStr">
        <is>
          <t>Jun 22, 2026, 9:00:00 AM</t>
        </is>
      </c>
      <c r="D59" t="inlineStr">
        <is>
          <t>36191</t>
        </is>
      </c>
      <c r="E59" t="inlineStr">
        <is>
          <t>Vincent Robles</t>
        </is>
      </c>
      <c r="F59" t="inlineStr">
        <is>
          <t>MICHELIN 235/50/R20 PILOT SPORT 4 SUV JLR 104Y XL TL</t>
        </is>
      </c>
      <c r="G59" t="inlineStr">
        <is>
          <t>DEV</t>
        </is>
      </c>
      <c r="H59" t="inlineStr">
        <is>
          <t>Fulfilled</t>
        </is>
      </c>
      <c r="I59" t="inlineStr">
        <is>
          <t>DEV</t>
        </is>
      </c>
      <c r="J59" t="n">
        <v>4</v>
      </c>
      <c r="K59" t="inlineStr">
        <is>
          <t>Fully Paid</t>
        </is>
      </c>
      <c r="L59" t="inlineStr">
        <is>
          <t>Pilot Sport 4 S</t>
        </is>
      </c>
      <c r="M59" t="inlineStr">
        <is>
          <t>09209125361</t>
        </is>
      </c>
      <c r="N59" t="inlineStr">
        <is>
          <t>vprobles3@gmail.com</t>
        </is>
      </c>
      <c r="O59" s="24" t="n">
        <v>66071.42999999999</v>
      </c>
    </row>
    <row r="60">
      <c r="A60" t="inlineStr">
        <is>
          <t>Before | May 28–Jul 14</t>
        </is>
      </c>
      <c r="B60" s="23" t="n">
        <v>46188</v>
      </c>
      <c r="C60" t="inlineStr">
        <is>
          <t>Jun 21, 2026, 10:00:00 AM</t>
        </is>
      </c>
      <c r="D60" t="inlineStr">
        <is>
          <t>36077</t>
        </is>
      </c>
      <c r="E60" t="inlineStr">
        <is>
          <t>John Raphael Aquino</t>
        </is>
      </c>
      <c r="F60" t="inlineStr">
        <is>
          <t>MICHELIN 215/55/R17 PRIMACY 5 94V</t>
        </is>
      </c>
      <c r="G60" t="inlineStr">
        <is>
          <t>DEV</t>
        </is>
      </c>
      <c r="H60" t="inlineStr">
        <is>
          <t>Fulfilled</t>
        </is>
      </c>
      <c r="I60" t="inlineStr">
        <is>
          <t>DEV</t>
        </is>
      </c>
      <c r="J60" t="n">
        <v>4</v>
      </c>
      <c r="K60" t="inlineStr">
        <is>
          <t>Fully Paid</t>
        </is>
      </c>
      <c r="L60" t="inlineStr">
        <is>
          <t>Primacy 5</t>
        </is>
      </c>
      <c r="M60" t="inlineStr">
        <is>
          <t>09171573385</t>
        </is>
      </c>
      <c r="N60" t="inlineStr">
        <is>
          <t>aquino.john.raphael@gmail.com</t>
        </is>
      </c>
      <c r="O60" s="24" t="n">
        <v>33450.89</v>
      </c>
    </row>
    <row r="61">
      <c r="A61" t="inlineStr">
        <is>
          <t>Before | May 28–Jul 14</t>
        </is>
      </c>
      <c r="B61" s="23" t="n">
        <v>46190</v>
      </c>
      <c r="C61" t="inlineStr">
        <is>
          <t>Jun 20, 2026, 2:00:00 PM</t>
        </is>
      </c>
      <c r="D61" t="inlineStr">
        <is>
          <t>36154</t>
        </is>
      </c>
      <c r="E61" t="inlineStr">
        <is>
          <t>Rommel Rabanal</t>
        </is>
      </c>
      <c r="F61" t="inlineStr">
        <is>
          <t>MICHELIN 235/55/R18 PRIMACY 5 104W</t>
        </is>
      </c>
      <c r="G61" t="inlineStr">
        <is>
          <t>DEV</t>
        </is>
      </c>
      <c r="H61" t="inlineStr">
        <is>
          <t>Fulfilled</t>
        </is>
      </c>
      <c r="I61" t="inlineStr">
        <is>
          <t>DEV</t>
        </is>
      </c>
      <c r="J61" t="n">
        <v>4</v>
      </c>
      <c r="K61" t="inlineStr">
        <is>
          <t>Fully Paid</t>
        </is>
      </c>
      <c r="L61" t="inlineStr">
        <is>
          <t>Primacy 5</t>
        </is>
      </c>
      <c r="M61" t="inlineStr">
        <is>
          <t>09176237516</t>
        </is>
      </c>
      <c r="N61" t="inlineStr">
        <is>
          <t>rfrabanal@gmail.com</t>
        </is>
      </c>
      <c r="O61" s="24" t="n">
        <v>38584.82</v>
      </c>
    </row>
    <row r="62">
      <c r="A62" t="inlineStr">
        <is>
          <t>Before | May 28–Jul 14</t>
        </is>
      </c>
      <c r="B62" s="23" t="n">
        <v>46191</v>
      </c>
      <c r="C62" t="inlineStr">
        <is>
          <t>Jun 19, 2026, 3:00:00 PM</t>
        </is>
      </c>
      <c r="D62" t="inlineStr">
        <is>
          <t>36186</t>
        </is>
      </c>
      <c r="E62" t="inlineStr">
        <is>
          <t>Joan Michelle Abella</t>
        </is>
      </c>
      <c r="F62" t="inlineStr">
        <is>
          <t>MICHELIN 225/60/R17 PRIMACY 5 103V</t>
        </is>
      </c>
      <c r="G62" t="inlineStr">
        <is>
          <t>SARAH MAE MANANSALA</t>
        </is>
      </c>
      <c r="H62" t="inlineStr">
        <is>
          <t>Fulfilled</t>
        </is>
      </c>
      <c r="I62" t="inlineStr">
        <is>
          <t>SARAH MAE MANANSALA</t>
        </is>
      </c>
      <c r="J62" t="n">
        <v>4</v>
      </c>
      <c r="K62" t="inlineStr">
        <is>
          <t>Fully Paid</t>
        </is>
      </c>
      <c r="L62" t="inlineStr">
        <is>
          <t>Primacy 5</t>
        </is>
      </c>
      <c r="M62" t="inlineStr">
        <is>
          <t>0927-773-6727</t>
        </is>
      </c>
      <c r="N62" t="inlineStr">
        <is>
          <t>joanmichelleabella@yahoo.com</t>
        </is>
      </c>
      <c r="O62" s="24" t="n">
        <v>40178.57</v>
      </c>
    </row>
    <row r="63">
      <c r="A63" t="inlineStr">
        <is>
          <t>Before | May 28–Jul 14</t>
        </is>
      </c>
      <c r="B63" s="23" t="n">
        <v>46190</v>
      </c>
      <c r="C63" t="inlineStr">
        <is>
          <t>Jun 19, 2026, 3:00:00 PM</t>
        </is>
      </c>
      <c r="D63" t="inlineStr">
        <is>
          <t>36156</t>
        </is>
      </c>
      <c r="E63" t="inlineStr">
        <is>
          <t>Julius Reyes</t>
        </is>
      </c>
      <c r="F63" t="inlineStr">
        <is>
          <t>MICHELIN 205/55/R17 PRIMACY 5 95W</t>
        </is>
      </c>
      <c r="G63" t="inlineStr">
        <is>
          <t>SARAH MAE MANANSALA</t>
        </is>
      </c>
      <c r="H63" t="inlineStr">
        <is>
          <t>Fulfilled</t>
        </is>
      </c>
      <c r="I63" t="inlineStr">
        <is>
          <t>SARAH MAE MANANSALA</t>
        </is>
      </c>
      <c r="J63" t="n">
        <v>4</v>
      </c>
      <c r="K63" t="inlineStr">
        <is>
          <t>Fully Paid</t>
        </is>
      </c>
      <c r="L63" t="inlineStr">
        <is>
          <t>Primacy 5</t>
        </is>
      </c>
      <c r="M63" t="inlineStr">
        <is>
          <t>0915-339-0715</t>
        </is>
      </c>
      <c r="N63" t="inlineStr">
        <is>
          <t>Julius.reyes79@gmail.com</t>
        </is>
      </c>
      <c r="O63" s="24" t="n">
        <v>32142.86</v>
      </c>
    </row>
    <row r="64">
      <c r="A64" t="inlineStr">
        <is>
          <t>Before | May 28–Jul 14</t>
        </is>
      </c>
      <c r="B64" s="23" t="n">
        <v>46188</v>
      </c>
      <c r="C64" t="inlineStr">
        <is>
          <t>Jun 18, 2026, 1:00:00 PM</t>
        </is>
      </c>
      <c r="D64" t="inlineStr">
        <is>
          <t>36104</t>
        </is>
      </c>
      <c r="E64" t="inlineStr">
        <is>
          <t>Jan Paul D. Nabos</t>
        </is>
      </c>
      <c r="F64" t="inlineStr">
        <is>
          <t>MICHELIN 265/50/R20 PRIMACY 5 111V</t>
        </is>
      </c>
      <c r="G64" t="inlineStr">
        <is>
          <t>TAIRA</t>
        </is>
      </c>
      <c r="H64" t="inlineStr">
        <is>
          <t>Fulfilled</t>
        </is>
      </c>
      <c r="I64" t="inlineStr">
        <is>
          <t>SARAH MAE MANANSALA</t>
        </is>
      </c>
      <c r="J64" t="n">
        <v>4</v>
      </c>
      <c r="K64" t="inlineStr">
        <is>
          <t>Fully Paid</t>
        </is>
      </c>
      <c r="L64" t="inlineStr">
        <is>
          <t>Primacy 5</t>
        </is>
      </c>
      <c r="M64" t="inlineStr">
        <is>
          <t>0945-759-3592</t>
        </is>
      </c>
      <c r="N64" t="inlineStr">
        <is>
          <t>jpdnabos@gmail.com</t>
        </is>
      </c>
      <c r="O64" s="24" t="n">
        <v>40178.57</v>
      </c>
    </row>
    <row r="65">
      <c r="A65" t="inlineStr">
        <is>
          <t>Before | May 28–Jul 14</t>
        </is>
      </c>
      <c r="B65" s="23" t="n">
        <v>46190</v>
      </c>
      <c r="C65" t="inlineStr">
        <is>
          <t>Jun 18, 2026, 11:00:00 AM</t>
        </is>
      </c>
      <c r="D65" t="inlineStr">
        <is>
          <t>36164</t>
        </is>
      </c>
      <c r="E65" t="inlineStr">
        <is>
          <t>Ms Nimisha Jain</t>
        </is>
      </c>
      <c r="F65" t="inlineStr">
        <is>
          <t>MICHELIN 255/50/R20 PILOT SPORT 4 SUV 109Y</t>
        </is>
      </c>
      <c r="G65" t="inlineStr">
        <is>
          <t>DEV</t>
        </is>
      </c>
      <c r="H65" t="inlineStr">
        <is>
          <t>Fulfilled</t>
        </is>
      </c>
      <c r="I65" t="inlineStr">
        <is>
          <t>DEV</t>
        </is>
      </c>
      <c r="J65" t="n">
        <v>4</v>
      </c>
      <c r="K65" t="inlineStr">
        <is>
          <t>Fully Paid</t>
        </is>
      </c>
      <c r="L65" t="inlineStr">
        <is>
          <t>Pilot Sport 4 S</t>
        </is>
      </c>
      <c r="M65" t="inlineStr">
        <is>
          <t>0969-592-1628</t>
        </is>
      </c>
      <c r="N65" t="inlineStr">
        <is>
          <t>n.nimisha@gmail.com</t>
        </is>
      </c>
      <c r="O65" s="24" t="n">
        <v>64285.71</v>
      </c>
    </row>
    <row r="66">
      <c r="A66" t="inlineStr">
        <is>
          <t>Before | May 28–Jul 14</t>
        </is>
      </c>
      <c r="B66" s="23" t="n">
        <v>46182</v>
      </c>
      <c r="C66" t="inlineStr">
        <is>
          <t>Jun 17, 2026, 1:00:00 PM</t>
        </is>
      </c>
      <c r="D66" t="inlineStr">
        <is>
          <t>35910</t>
        </is>
      </c>
      <c r="E66" t="inlineStr">
        <is>
          <t>Enrique C. Aguilar</t>
        </is>
      </c>
      <c r="F66" t="inlineStr">
        <is>
          <t>MICHELIN 235/50/R19 PILOT SPORT 4 SUV S1 99V</t>
        </is>
      </c>
      <c r="G66" t="inlineStr">
        <is>
          <t>ROLYN ANG</t>
        </is>
      </c>
      <c r="H66" t="inlineStr">
        <is>
          <t>Fulfilled</t>
        </is>
      </c>
      <c r="I66" t="inlineStr">
        <is>
          <t>ROLYN ANG</t>
        </is>
      </c>
      <c r="J66" t="n">
        <v>4</v>
      </c>
      <c r="K66" t="inlineStr">
        <is>
          <t>Fully Paid</t>
        </is>
      </c>
      <c r="L66" t="inlineStr">
        <is>
          <t>Pilot Sport 4 S</t>
        </is>
      </c>
      <c r="M66" t="inlineStr">
        <is>
          <t>0999-454-0159</t>
        </is>
      </c>
      <c r="N66" t="inlineStr">
        <is>
          <t>aguilaenrique@gmail.com</t>
        </is>
      </c>
      <c r="O66" s="24" t="n">
        <v>56035.71</v>
      </c>
    </row>
    <row r="67">
      <c r="A67" t="inlineStr">
        <is>
          <t>Before | May 28–Jul 14</t>
        </is>
      </c>
      <c r="B67" s="23" t="n">
        <v>46186</v>
      </c>
      <c r="C67" t="inlineStr">
        <is>
          <t>Jun 15, 2026, 1:00:00 PM</t>
        </is>
      </c>
      <c r="D67" t="inlineStr">
        <is>
          <t>36033</t>
        </is>
      </c>
      <c r="E67" t="inlineStr">
        <is>
          <t>Allan Paul Manzano</t>
        </is>
      </c>
      <c r="F67" t="inlineStr">
        <is>
          <t>MICHELIN 235/40/ZR18 PILOT SPORT 5 95Y XL TL</t>
        </is>
      </c>
      <c r="G67" t="inlineStr">
        <is>
          <t>SARAH MAE MANANSALA</t>
        </is>
      </c>
      <c r="H67" t="inlineStr">
        <is>
          <t>Fulfilled</t>
        </is>
      </c>
      <c r="I67" t="inlineStr">
        <is>
          <t>SARAH MAE MANANSALA</t>
        </is>
      </c>
      <c r="J67" t="n">
        <v>4</v>
      </c>
      <c r="K67" t="inlineStr">
        <is>
          <t>Partial Payment</t>
        </is>
      </c>
      <c r="L67" t="inlineStr">
        <is>
          <t>Pilot Sport 5</t>
        </is>
      </c>
      <c r="M67" t="inlineStr">
        <is>
          <t>0995-091-1393</t>
        </is>
      </c>
      <c r="N67" t="inlineStr">
        <is>
          <t>allanpaulmanzano63@gmail.com</t>
        </is>
      </c>
      <c r="O67" s="24" t="n">
        <v>46459.82</v>
      </c>
    </row>
    <row r="68">
      <c r="A68" t="inlineStr">
        <is>
          <t>Before | May 28–Jul 14</t>
        </is>
      </c>
      <c r="B68" s="23" t="n">
        <v>46185</v>
      </c>
      <c r="C68" t="inlineStr">
        <is>
          <t>Jun 15, 2026, 1:00:00 PM</t>
        </is>
      </c>
      <c r="D68" t="inlineStr">
        <is>
          <t>36013</t>
        </is>
      </c>
      <c r="E68" t="inlineStr">
        <is>
          <t>William Lee</t>
        </is>
      </c>
      <c r="F68" t="inlineStr">
        <is>
          <t>MICHELIN 245/40/ZR19 PILOT SPORT 5 98Y</t>
        </is>
      </c>
      <c r="G68" t="inlineStr">
        <is>
          <t>SARAH MAE MANANSALA</t>
        </is>
      </c>
      <c r="H68" t="inlineStr">
        <is>
          <t>Fulfilled</t>
        </is>
      </c>
      <c r="I68" t="inlineStr">
        <is>
          <t>SARAH MAE MANANSALA</t>
        </is>
      </c>
      <c r="J68" t="n">
        <v>4</v>
      </c>
      <c r="K68" t="inlineStr">
        <is>
          <t>Fully Paid</t>
        </is>
      </c>
      <c r="L68" t="inlineStr">
        <is>
          <t>Pilot Sport 5</t>
        </is>
      </c>
      <c r="M68" t="inlineStr">
        <is>
          <t>0968-123-1818</t>
        </is>
      </c>
      <c r="N68" t="inlineStr">
        <is>
          <t>williamandrewlee@gmail.com</t>
        </is>
      </c>
      <c r="O68" s="24" t="n">
        <v>49553.57</v>
      </c>
    </row>
    <row r="69">
      <c r="A69" t="inlineStr">
        <is>
          <t>Before | May 28–Jul 14</t>
        </is>
      </c>
      <c r="B69" s="23" t="n">
        <v>46180</v>
      </c>
      <c r="C69" t="inlineStr">
        <is>
          <t>Jun 13, 2026, 9:00:00 AM</t>
        </is>
      </c>
      <c r="D69" t="inlineStr">
        <is>
          <t>35836</t>
        </is>
      </c>
      <c r="E69" t="inlineStr">
        <is>
          <t>Manolito Monje</t>
        </is>
      </c>
      <c r="F69" t="inlineStr">
        <is>
          <t>MICHELIN 225/45/R17 PRIMACY 5 94W XL</t>
        </is>
      </c>
      <c r="G69" t="inlineStr">
        <is>
          <t>DEV</t>
        </is>
      </c>
      <c r="H69" t="inlineStr">
        <is>
          <t>Fulfilled</t>
        </is>
      </c>
      <c r="I69" t="inlineStr">
        <is>
          <t>DEV</t>
        </is>
      </c>
      <c r="J69" t="n">
        <v>4</v>
      </c>
      <c r="K69" t="inlineStr">
        <is>
          <t>Fully Paid</t>
        </is>
      </c>
      <c r="L69" t="inlineStr">
        <is>
          <t>Primacy 5</t>
        </is>
      </c>
      <c r="M69" t="inlineStr">
        <is>
          <t>09065657483</t>
        </is>
      </c>
      <c r="N69" t="inlineStr">
        <is>
          <t>mgmonje21@gmail.com</t>
        </is>
      </c>
      <c r="O69" s="24" t="n">
        <v>33272.32</v>
      </c>
    </row>
    <row r="70">
      <c r="A70" t="inlineStr">
        <is>
          <t>Before | May 28–Jul 14</t>
        </is>
      </c>
      <c r="B70" s="23" t="n">
        <v>46181</v>
      </c>
      <c r="C70" t="inlineStr">
        <is>
          <t>Jun 11, 2026, 10:00:00 AM</t>
        </is>
      </c>
      <c r="D70" t="inlineStr">
        <is>
          <t>35885</t>
        </is>
      </c>
      <c r="E70" t="inlineStr">
        <is>
          <t>Alxander Celzo</t>
        </is>
      </c>
      <c r="F70" t="inlineStr">
        <is>
          <t>MICHELIN 235/40/ZR18 PILOT SPORT 5 95Y XL TL</t>
        </is>
      </c>
      <c r="G70" t="inlineStr">
        <is>
          <t>ROLYN ANG</t>
        </is>
      </c>
      <c r="H70" t="inlineStr">
        <is>
          <t>Fulfilled</t>
        </is>
      </c>
      <c r="I70" t="inlineStr">
        <is>
          <t>ROLYN ANG</t>
        </is>
      </c>
      <c r="J70" t="n">
        <v>4</v>
      </c>
      <c r="K70" t="inlineStr">
        <is>
          <t>Fully Paid</t>
        </is>
      </c>
      <c r="L70" t="inlineStr">
        <is>
          <t>Pilot Sport 5</t>
        </is>
      </c>
      <c r="M70" t="inlineStr">
        <is>
          <t>0995-388-9343</t>
        </is>
      </c>
      <c r="N70" t="inlineStr">
        <is>
          <t>celc_99@yahoo.com</t>
        </is>
      </c>
      <c r="O70" s="24" t="n">
        <v>46459.82</v>
      </c>
    </row>
    <row r="71">
      <c r="A71" t="inlineStr">
        <is>
          <t>Before | May 28–Jul 14</t>
        </is>
      </c>
      <c r="B71" s="23" t="n">
        <v>46182</v>
      </c>
      <c r="C71" t="inlineStr">
        <is>
          <t>Jun 10, 2026, 9:00:00 AM</t>
        </is>
      </c>
      <c r="D71" t="inlineStr">
        <is>
          <t>35908</t>
        </is>
      </c>
      <c r="E71" t="inlineStr">
        <is>
          <t>Christopher Feist</t>
        </is>
      </c>
      <c r="F71" t="inlineStr">
        <is>
          <t>MICHELIN 235/50/R19 PILOT SPORT 4 SUV S1 99V</t>
        </is>
      </c>
      <c r="G71" t="inlineStr">
        <is>
          <t>DEV</t>
        </is>
      </c>
      <c r="H71" t="inlineStr">
        <is>
          <t>Fulfilled</t>
        </is>
      </c>
      <c r="I71" t="inlineStr">
        <is>
          <t>DEV</t>
        </is>
      </c>
      <c r="J71" t="n">
        <v>4</v>
      </c>
      <c r="K71" t="inlineStr">
        <is>
          <t>Fully Paid</t>
        </is>
      </c>
      <c r="L71" t="inlineStr">
        <is>
          <t>Pilot Sport 4 S</t>
        </is>
      </c>
      <c r="M71" t="inlineStr">
        <is>
          <t>0917-828-8825</t>
        </is>
      </c>
      <c r="N71" t="inlineStr">
        <is>
          <t>cpfeist@gmail.com</t>
        </is>
      </c>
      <c r="O71" s="24" t="n">
        <v>56035.71</v>
      </c>
    </row>
    <row r="72">
      <c r="A72" t="inlineStr">
        <is>
          <t>Before | May 28–Jul 14</t>
        </is>
      </c>
      <c r="B72" s="23" t="n">
        <v>46181</v>
      </c>
      <c r="C72" t="inlineStr">
        <is>
          <t>Jun 9, 2026, 3:00:00 PM</t>
        </is>
      </c>
      <c r="D72" t="inlineStr">
        <is>
          <t>35876</t>
        </is>
      </c>
      <c r="E72" t="inlineStr">
        <is>
          <t>Jape Aldea</t>
        </is>
      </c>
      <c r="F72" t="inlineStr">
        <is>
          <t>MICHELIN 255/40/ZR19 PILOT SPORT 5 100Y</t>
        </is>
      </c>
      <c r="G72" t="inlineStr">
        <is>
          <t>REMYLYN</t>
        </is>
      </c>
      <c r="H72" t="inlineStr">
        <is>
          <t>Fulfilled</t>
        </is>
      </c>
      <c r="I72" t="inlineStr">
        <is>
          <t>REMYLYN</t>
        </is>
      </c>
      <c r="J72" t="n">
        <v>4</v>
      </c>
      <c r="K72" t="inlineStr">
        <is>
          <t>Fully Paid</t>
        </is>
      </c>
      <c r="L72" t="inlineStr">
        <is>
          <t>Pilot Sport 5</t>
        </is>
      </c>
      <c r="M72" t="inlineStr">
        <is>
          <t>0961-751-7251</t>
        </is>
      </c>
      <c r="N72" t="inlineStr">
        <is>
          <t>japealdeaofficial@gmail.com</t>
        </is>
      </c>
      <c r="O72" s="24" t="n">
        <v>60388.39</v>
      </c>
    </row>
    <row r="73">
      <c r="A73" t="inlineStr">
        <is>
          <t>Before | May 28–Jul 14</t>
        </is>
      </c>
      <c r="B73" s="23" t="n">
        <v>46175</v>
      </c>
      <c r="C73" t="inlineStr">
        <is>
          <t>Jun 9, 2026, 3:00:00 PM</t>
        </is>
      </c>
      <c r="D73" t="inlineStr">
        <is>
          <t>35679</t>
        </is>
      </c>
      <c r="E73" t="inlineStr">
        <is>
          <t>Karina Karla Angulo</t>
        </is>
      </c>
      <c r="F73" t="inlineStr">
        <is>
          <t>MICHELIN 195/60/R16 PRIMACY 5 93V</t>
        </is>
      </c>
      <c r="G73" t="inlineStr">
        <is>
          <t>DEV</t>
        </is>
      </c>
      <c r="H73" t="inlineStr">
        <is>
          <t>Fulfilled</t>
        </is>
      </c>
      <c r="I73" t="inlineStr">
        <is>
          <t>DEV</t>
        </is>
      </c>
      <c r="J73" t="n">
        <v>4</v>
      </c>
      <c r="K73" t="inlineStr">
        <is>
          <t>Fully Paid</t>
        </is>
      </c>
      <c r="L73" t="inlineStr">
        <is>
          <t>Primacy 5</t>
        </is>
      </c>
      <c r="M73" t="inlineStr">
        <is>
          <t>09253012213</t>
        </is>
      </c>
      <c r="N73" t="inlineStr">
        <is>
          <t>karinapoloangulo@gmail.com</t>
        </is>
      </c>
      <c r="O73" s="24" t="n">
        <v>28169.64</v>
      </c>
    </row>
    <row r="74">
      <c r="A74" t="inlineStr">
        <is>
          <t>Before | May 28–Jul 14</t>
        </is>
      </c>
      <c r="B74" s="23" t="n">
        <v>46177</v>
      </c>
      <c r="C74" t="inlineStr">
        <is>
          <t>Jun 9, 2026, 1:00:00 PM</t>
        </is>
      </c>
      <c r="D74" t="inlineStr">
        <is>
          <t>35776</t>
        </is>
      </c>
      <c r="E74" t="inlineStr">
        <is>
          <t>Erickson Felipe</t>
        </is>
      </c>
      <c r="F74" t="inlineStr">
        <is>
          <t>MICHELIN 235/45/R17 PRIMACY 5 97W</t>
        </is>
      </c>
      <c r="G74" t="inlineStr">
        <is>
          <t>REMYLYN</t>
        </is>
      </c>
      <c r="H74" t="inlineStr">
        <is>
          <t>Fulfilled</t>
        </is>
      </c>
      <c r="I74" t="inlineStr">
        <is>
          <t>REMYLYN</t>
        </is>
      </c>
      <c r="J74" t="n">
        <v>4</v>
      </c>
      <c r="K74" t="inlineStr">
        <is>
          <t>Fully Paid</t>
        </is>
      </c>
      <c r="L74" t="inlineStr">
        <is>
          <t>Primacy 5</t>
        </is>
      </c>
      <c r="M74" t="inlineStr">
        <is>
          <t>09083667631</t>
        </is>
      </c>
      <c r="N74" t="inlineStr">
        <is>
          <t>eboy.felipe@gmail.com</t>
        </is>
      </c>
      <c r="O74" s="24" t="n">
        <v>35642.86</v>
      </c>
    </row>
    <row r="75">
      <c r="A75" t="inlineStr">
        <is>
          <t>Before | May 28–Jul 14</t>
        </is>
      </c>
      <c r="B75" s="23" t="n">
        <v>46174</v>
      </c>
      <c r="C75" t="inlineStr">
        <is>
          <t>Jun 6, 2026, 9:00:00 AM</t>
        </is>
      </c>
      <c r="D75" t="inlineStr">
        <is>
          <t>35665</t>
        </is>
      </c>
      <c r="E75" t="inlineStr">
        <is>
          <t>gary borja</t>
        </is>
      </c>
      <c r="F75" t="inlineStr">
        <is>
          <t>MICHELIN 235/50/R18 PRIMACY 5 97W</t>
        </is>
      </c>
      <c r="G75" t="inlineStr">
        <is>
          <t>ROLYN ANG</t>
        </is>
      </c>
      <c r="H75" t="inlineStr">
        <is>
          <t>Fulfilled</t>
        </is>
      </c>
      <c r="I75" t="inlineStr">
        <is>
          <t>ROLYN ANG</t>
        </is>
      </c>
      <c r="J75" t="n">
        <v>4</v>
      </c>
      <c r="K75" t="inlineStr">
        <is>
          <t>Fully Paid</t>
        </is>
      </c>
      <c r="L75" t="inlineStr">
        <is>
          <t>Primacy 5</t>
        </is>
      </c>
      <c r="M75" t="inlineStr">
        <is>
          <t>0949-483-5029</t>
        </is>
      </c>
      <c r="N75" t="inlineStr">
        <is>
          <t>garyborja@yahoo.com</t>
        </is>
      </c>
      <c r="O75" s="24" t="n">
        <v>39017.86</v>
      </c>
    </row>
    <row r="76">
      <c r="A76" t="inlineStr">
        <is>
          <t>Before | May 28–Jul 14</t>
        </is>
      </c>
      <c r="B76" s="23" t="n">
        <v>46178</v>
      </c>
      <c r="C76" t="inlineStr">
        <is>
          <t>Jun 6, 2026, 8:00:00 AM</t>
        </is>
      </c>
      <c r="D76" t="inlineStr">
        <is>
          <t>35790</t>
        </is>
      </c>
      <c r="E76" t="inlineStr">
        <is>
          <t>Cid Agpad</t>
        </is>
      </c>
      <c r="F76" t="inlineStr">
        <is>
          <t>MICHELIN 215/60/R17 PRIMACY 5 100V</t>
        </is>
      </c>
      <c r="G76" t="inlineStr">
        <is>
          <t>AIRA</t>
        </is>
      </c>
      <c r="H76" t="inlineStr">
        <is>
          <t>Fulfilled</t>
        </is>
      </c>
      <c r="I76" t="inlineStr">
        <is>
          <t>AIRA</t>
        </is>
      </c>
      <c r="J76" t="n">
        <v>4</v>
      </c>
      <c r="K76" t="inlineStr">
        <is>
          <t>Fully Paid</t>
        </is>
      </c>
      <c r="L76" t="inlineStr">
        <is>
          <t>Primacy 5</t>
        </is>
      </c>
      <c r="M76" t="inlineStr">
        <is>
          <t>0919-562-7382</t>
        </is>
      </c>
      <c r="N76" t="inlineStr">
        <is>
          <t>cidagpad@gmail.com</t>
        </is>
      </c>
      <c r="O76" s="24" t="n">
        <v>33924.11</v>
      </c>
    </row>
    <row r="77">
      <c r="A77" t="inlineStr">
        <is>
          <t>Before | May 28–Jul 14</t>
        </is>
      </c>
      <c r="B77" s="23" t="n">
        <v>46175</v>
      </c>
      <c r="C77" t="inlineStr">
        <is>
          <t>Jun 5, 2026, 2:00:00 PM</t>
        </is>
      </c>
      <c r="D77" t="inlineStr">
        <is>
          <t>35695</t>
        </is>
      </c>
      <c r="E77" t="inlineStr">
        <is>
          <t>German Lapada</t>
        </is>
      </c>
      <c r="F77" t="inlineStr">
        <is>
          <t>MICHELIN 205/50/R17 PRIMACY 5 93W</t>
        </is>
      </c>
      <c r="G77" t="inlineStr">
        <is>
          <t>DEV</t>
        </is>
      </c>
      <c r="H77" t="inlineStr">
        <is>
          <t>Fulfilled</t>
        </is>
      </c>
      <c r="I77" t="inlineStr">
        <is>
          <t>DEV</t>
        </is>
      </c>
      <c r="J77" t="n">
        <v>4</v>
      </c>
      <c r="K77" t="inlineStr">
        <is>
          <t>Fully Paid</t>
        </is>
      </c>
      <c r="L77" t="inlineStr">
        <is>
          <t>Primacy 5</t>
        </is>
      </c>
      <c r="M77" t="inlineStr">
        <is>
          <t>09992280323</t>
        </is>
      </c>
      <c r="N77" t="inlineStr">
        <is>
          <t>germannino.lapada1@gmail.com</t>
        </is>
      </c>
      <c r="O77" s="24" t="n">
        <v>29441.96</v>
      </c>
    </row>
    <row r="78">
      <c r="A78" t="inlineStr">
        <is>
          <t>Before | May 28–Jul 14</t>
        </is>
      </c>
      <c r="B78" s="23" t="n">
        <v>46177</v>
      </c>
      <c r="C78" t="inlineStr">
        <is>
          <t>Jun 5, 2026, 9:00:00 AM</t>
        </is>
      </c>
      <c r="D78" t="inlineStr">
        <is>
          <t>35763</t>
        </is>
      </c>
      <c r="E78" t="inlineStr">
        <is>
          <t>Antonio Realica</t>
        </is>
      </c>
      <c r="F78" t="inlineStr">
        <is>
          <t>MICHELIN 225/45/ZR18 PILOT SPORT 5 95Y XL TL</t>
        </is>
      </c>
      <c r="G78" t="inlineStr">
        <is>
          <t>AIRA</t>
        </is>
      </c>
      <c r="H78" t="inlineStr">
        <is>
          <t>Fulfilled</t>
        </is>
      </c>
      <c r="I78" t="inlineStr">
        <is>
          <t>AIRA</t>
        </is>
      </c>
      <c r="J78" t="n">
        <v>4</v>
      </c>
      <c r="K78" t="inlineStr">
        <is>
          <t>Fully Paid</t>
        </is>
      </c>
      <c r="L78" t="inlineStr">
        <is>
          <t>Pilot Sport 5</t>
        </is>
      </c>
      <c r="M78" t="inlineStr">
        <is>
          <t>0949-614-7249</t>
        </is>
      </c>
      <c r="N78" t="inlineStr">
        <is>
          <t>tonyvrealica@yahoo.com</t>
        </is>
      </c>
      <c r="O78" s="24" t="n">
        <v>42723.21</v>
      </c>
    </row>
    <row r="79">
      <c r="A79" t="inlineStr">
        <is>
          <t>Before | May 28–Jul 14</t>
        </is>
      </c>
      <c r="B79" s="23" t="n">
        <v>46173</v>
      </c>
      <c r="C79" t="inlineStr">
        <is>
          <t>Jun 3, 2026, 5:08:00 PM</t>
        </is>
      </c>
      <c r="D79" t="inlineStr">
        <is>
          <t>35638</t>
        </is>
      </c>
      <c r="E79" t="inlineStr">
        <is>
          <t>Precious Mae Maldan</t>
        </is>
      </c>
      <c r="F79" t="inlineStr">
        <is>
          <t>MICHELIN 205/50/R17 PRIMACY 5 93W</t>
        </is>
      </c>
      <c r="G79" t="inlineStr">
        <is>
          <t>DEV</t>
        </is>
      </c>
      <c r="H79" t="inlineStr">
        <is>
          <t>Fulfilled</t>
        </is>
      </c>
      <c r="I79" t="inlineStr">
        <is>
          <t>DEV</t>
        </is>
      </c>
      <c r="J79" t="n">
        <v>4</v>
      </c>
      <c r="K79" t="inlineStr">
        <is>
          <t>Partial Payment</t>
        </is>
      </c>
      <c r="L79" t="inlineStr">
        <is>
          <t>Primacy 5</t>
        </is>
      </c>
      <c r="M79" t="inlineStr">
        <is>
          <t>09658356278</t>
        </is>
      </c>
      <c r="N79" t="inlineStr">
        <is>
          <t>preciousmaldan25@gmail.com</t>
        </is>
      </c>
      <c r="O79" s="24" t="n">
        <v>29531.25</v>
      </c>
    </row>
    <row r="80">
      <c r="A80" t="inlineStr">
        <is>
          <t>Before | May 28–Jul 14</t>
        </is>
      </c>
      <c r="B80" s="23" t="n">
        <v>46175</v>
      </c>
      <c r="C80" t="inlineStr">
        <is>
          <t>Jun 3, 2026, 3:00:00 PM</t>
        </is>
      </c>
      <c r="D80" t="inlineStr">
        <is>
          <t>35686</t>
        </is>
      </c>
      <c r="E80" t="inlineStr">
        <is>
          <t>John Henry N. Tamayo</t>
        </is>
      </c>
      <c r="F80" t="inlineStr">
        <is>
          <t>MICHELIN 205/65/R16 PRIMACY 5 95W</t>
        </is>
      </c>
      <c r="G80" t="inlineStr">
        <is>
          <t>SARAH MAE MANANSALA</t>
        </is>
      </c>
      <c r="H80" t="inlineStr">
        <is>
          <t>Fulfilled</t>
        </is>
      </c>
      <c r="I80" t="inlineStr">
        <is>
          <t>SARAH MAE MANANSALA</t>
        </is>
      </c>
      <c r="J80" t="n">
        <v>4</v>
      </c>
      <c r="K80" t="inlineStr">
        <is>
          <t>Fully Paid</t>
        </is>
      </c>
      <c r="L80" t="inlineStr">
        <is>
          <t>Primacy 5</t>
        </is>
      </c>
      <c r="M80" t="inlineStr">
        <is>
          <t>0917-125-7000</t>
        </is>
      </c>
      <c r="N80" t="inlineStr">
        <is>
          <t>johnhenrytamayo@gmail.com</t>
        </is>
      </c>
      <c r="O80" s="24" t="n">
        <v>22767.86</v>
      </c>
    </row>
    <row r="81">
      <c r="A81" t="inlineStr">
        <is>
          <t>Before | May 28–Jul 14</t>
        </is>
      </c>
      <c r="B81" s="23" t="n">
        <v>46174</v>
      </c>
      <c r="C81" t="inlineStr">
        <is>
          <t>Jun 2, 2026, 3:00:00 PM</t>
        </is>
      </c>
      <c r="D81" t="inlineStr">
        <is>
          <t>35670</t>
        </is>
      </c>
      <c r="E81" t="inlineStr">
        <is>
          <t>Felomeno Siy</t>
        </is>
      </c>
      <c r="F81" t="inlineStr">
        <is>
          <t>MICHELIN 245/45/R19 PRIMACY 5 102W</t>
        </is>
      </c>
      <c r="G81" t="inlineStr">
        <is>
          <t>AIRA</t>
        </is>
      </c>
      <c r="H81" t="inlineStr">
        <is>
          <t>Fulfilled</t>
        </is>
      </c>
      <c r="I81" t="inlineStr">
        <is>
          <t>AIRA</t>
        </is>
      </c>
      <c r="J81" t="n">
        <v>4</v>
      </c>
      <c r="K81" t="inlineStr">
        <is>
          <t>Fully Paid</t>
        </is>
      </c>
      <c r="L81" t="inlineStr">
        <is>
          <t>Primacy 5</t>
        </is>
      </c>
      <c r="M81" t="inlineStr">
        <is>
          <t>0917-122-4006</t>
        </is>
      </c>
      <c r="N81" t="inlineStr">
        <is>
          <t>alsyhoksun@gmail.com</t>
        </is>
      </c>
      <c r="O81" s="24" t="n">
        <v>49406.25</v>
      </c>
    </row>
    <row r="82">
      <c r="A82" t="inlineStr">
        <is>
          <t>Before | May 28–Jul 14</t>
        </is>
      </c>
      <c r="B82" s="23" t="n">
        <v>46172</v>
      </c>
      <c r="C82" t="inlineStr">
        <is>
          <t>Jun 2, 2026, 1:00:00 PM</t>
        </is>
      </c>
      <c r="D82" t="inlineStr">
        <is>
          <t>35628</t>
        </is>
      </c>
      <c r="E82" t="inlineStr">
        <is>
          <t>Gibson Yu</t>
        </is>
      </c>
      <c r="F82" t="inlineStr">
        <is>
          <t>MICHELIN 275/50/ZR20 PILOT SPORT 4 SUV 113Y</t>
        </is>
      </c>
      <c r="G82" t="inlineStr">
        <is>
          <t>DEV</t>
        </is>
      </c>
      <c r="H82" t="inlineStr">
        <is>
          <t>Fulfilled</t>
        </is>
      </c>
      <c r="I82" t="inlineStr">
        <is>
          <t>DEV</t>
        </is>
      </c>
      <c r="J82" t="n">
        <v>4</v>
      </c>
      <c r="K82" t="inlineStr">
        <is>
          <t>Fully Paid</t>
        </is>
      </c>
      <c r="L82" t="inlineStr">
        <is>
          <t>Pilot Sport 4 S</t>
        </is>
      </c>
      <c r="M82" t="inlineStr">
        <is>
          <t>09175270788</t>
        </is>
      </c>
      <c r="N82" t="inlineStr">
        <is>
          <t>gibsonaustin@gmail.com</t>
        </is>
      </c>
      <c r="O82" s="24" t="n">
        <v>86071.42999999999</v>
      </c>
    </row>
    <row r="83">
      <c r="A83" t="inlineStr">
        <is>
          <t>Before | May 28–Jul 14</t>
        </is>
      </c>
      <c r="B83" s="23" t="n">
        <v>46174</v>
      </c>
      <c r="C83" t="inlineStr">
        <is>
          <t>Jun 2, 2026, 8:00:00 AM</t>
        </is>
      </c>
      <c r="D83" t="inlineStr">
        <is>
          <t>35671</t>
        </is>
      </c>
      <c r="E83" t="inlineStr">
        <is>
          <t>Wilren Peña</t>
        </is>
      </c>
      <c r="F83" t="inlineStr">
        <is>
          <t>MICHELIN 255/45/ZR19 PILOT SPORT 5 104Y XL TL</t>
        </is>
      </c>
      <c r="G83" t="inlineStr">
        <is>
          <t>REMYLYN</t>
        </is>
      </c>
      <c r="H83" t="inlineStr">
        <is>
          <t>Fulfilled</t>
        </is>
      </c>
      <c r="I83" t="inlineStr">
        <is>
          <t>REMYLYN</t>
        </is>
      </c>
      <c r="J83" t="n">
        <v>4</v>
      </c>
      <c r="K83" t="inlineStr">
        <is>
          <t>Fully Paid</t>
        </is>
      </c>
      <c r="L83" t="inlineStr">
        <is>
          <t>Pilot Sport 5</t>
        </is>
      </c>
      <c r="M83" t="inlineStr">
        <is>
          <t>0917-321-7362</t>
        </is>
      </c>
      <c r="N83" t="inlineStr">
        <is>
          <t>wnpena152@gmail.com</t>
        </is>
      </c>
      <c r="O83" s="24" t="n">
        <v>50169.64</v>
      </c>
    </row>
    <row r="84">
      <c r="A84" t="inlineStr">
        <is>
          <t>Before | May 28–Jul 14</t>
        </is>
      </c>
      <c r="B84" s="23" t="n">
        <v>46170</v>
      </c>
      <c r="C84" t="inlineStr">
        <is>
          <t>Jun 1, 2026, 11:47:00 AM</t>
        </is>
      </c>
      <c r="D84" t="inlineStr">
        <is>
          <t>35549</t>
        </is>
      </c>
      <c r="E84" t="inlineStr">
        <is>
          <t>Adet Pelayo-Adap</t>
        </is>
      </c>
      <c r="F84" t="inlineStr">
        <is>
          <t>MICHELIN 235/50/R19 PRIMACY 5 103W</t>
        </is>
      </c>
      <c r="G84" t="inlineStr">
        <is>
          <t>DEV</t>
        </is>
      </c>
      <c r="H84" t="inlineStr">
        <is>
          <t>Fulfilled</t>
        </is>
      </c>
      <c r="I84" t="inlineStr">
        <is>
          <t>DEV</t>
        </is>
      </c>
      <c r="J84" t="n">
        <v>4</v>
      </c>
      <c r="K84" t="inlineStr">
        <is>
          <t>Partial Payment</t>
        </is>
      </c>
      <c r="L84" t="inlineStr">
        <is>
          <t>Primacy 5</t>
        </is>
      </c>
      <c r="M84" t="inlineStr">
        <is>
          <t>09175498997</t>
        </is>
      </c>
      <c r="N84" t="inlineStr">
        <is>
          <t>adettepelayo@gmail.com</t>
        </is>
      </c>
      <c r="O84" s="24" t="n">
        <v>46473.21</v>
      </c>
    </row>
    <row r="85">
      <c r="A85" t="inlineStr">
        <is>
          <t>Before | May 28–Jul 14</t>
        </is>
      </c>
      <c r="B85" s="23" t="n">
        <v>46171</v>
      </c>
      <c r="C85" t="inlineStr">
        <is>
          <t>May 31, 2026, 1:00:00 PM</t>
        </is>
      </c>
      <c r="D85" t="inlineStr">
        <is>
          <t>35579</t>
        </is>
      </c>
      <c r="E85" t="inlineStr">
        <is>
          <t>Bryan Jave Baliday</t>
        </is>
      </c>
      <c r="F85" t="inlineStr">
        <is>
          <t>MICHELIN 215/55/R16 PRIMACY 5 97W XL TL</t>
        </is>
      </c>
      <c r="G85" t="inlineStr">
        <is>
          <t>REMYLYN</t>
        </is>
      </c>
      <c r="H85" t="inlineStr">
        <is>
          <t>Fulfilled</t>
        </is>
      </c>
      <c r="I85" t="inlineStr">
        <is>
          <t>REMYLYN</t>
        </is>
      </c>
      <c r="J85" t="n">
        <v>4</v>
      </c>
      <c r="K85" t="inlineStr">
        <is>
          <t>Fully Paid</t>
        </is>
      </c>
      <c r="L85" t="inlineStr">
        <is>
          <t>Primacy 5</t>
        </is>
      </c>
      <c r="M85" t="inlineStr">
        <is>
          <t>0977-803-5935</t>
        </is>
      </c>
      <c r="N85" t="inlineStr">
        <is>
          <t>bryanjave@gmail.com</t>
        </is>
      </c>
      <c r="O85" s="24" t="n">
        <v>32116.07</v>
      </c>
    </row>
  </sheetData>
  <autoFilter ref="A4:O85"/>
  <mergeCells count="2">
    <mergeCell ref="A2:N2"/>
    <mergeCell ref="A1:N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O1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27" customWidth="1" min="3" max="3"/>
    <col width="12" customWidth="1" min="4" max="4"/>
    <col width="25" customWidth="1" min="5" max="5"/>
    <col width="60" customWidth="1" min="6" max="6"/>
    <col width="14" customWidth="1" min="7" max="7"/>
    <col width="13" customWidth="1" min="8" max="8"/>
    <col width="15" customWidth="1" min="9" max="9"/>
    <col width="12" customWidth="1" min="10" max="10"/>
    <col width="18" customWidth="1" min="11" max="11"/>
    <col width="22" customWidth="1" min="12" max="12"/>
    <col width="18" customWidth="1" min="13" max="13"/>
    <col width="30" customWidth="1" min="14" max="14"/>
    <col width="18" customWidth="1" min="15" max="15"/>
  </cols>
  <sheetData>
    <row r="1" ht="34" customHeight="1">
      <c r="A1" s="1" t="inlineStr">
        <is>
          <t>Raw After</t>
        </is>
      </c>
    </row>
    <row r="2" ht="28" customHeight="1">
      <c r="A2" s="2" t="inlineStr">
        <is>
          <t>Transaction-level fulfilled records retained for audit and recalculation.</t>
        </is>
      </c>
    </row>
    <row r="4">
      <c r="A4" s="8" t="inlineStr">
        <is>
          <t>Period</t>
        </is>
      </c>
      <c r="B4" s="8" t="inlineStr">
        <is>
          <t>Order Date</t>
        </is>
      </c>
      <c r="C4" s="8" t="inlineStr">
        <is>
          <t>Pickup Date</t>
        </is>
      </c>
      <c r="D4" s="8" t="inlineStr">
        <is>
          <t>Order ID</t>
        </is>
      </c>
      <c r="E4" s="8" t="inlineStr">
        <is>
          <t>Customer</t>
        </is>
      </c>
      <c r="F4" s="8" t="inlineStr">
        <is>
          <t>SKU</t>
        </is>
      </c>
      <c r="G4" s="8" t="inlineStr">
        <is>
          <t>Agent</t>
        </is>
      </c>
      <c r="H4" s="8" t="inlineStr">
        <is>
          <t>Status</t>
        </is>
      </c>
      <c r="I4" s="8" t="inlineStr">
        <is>
          <t>Sales Agent</t>
        </is>
      </c>
      <c r="J4" s="8" t="inlineStr">
        <is>
          <t>Quantity</t>
        </is>
      </c>
      <c r="K4" s="8" t="inlineStr">
        <is>
          <t>Payment Status</t>
        </is>
      </c>
      <c r="L4" s="8" t="inlineStr">
        <is>
          <t>Pattern</t>
        </is>
      </c>
      <c r="M4" s="8" t="inlineStr">
        <is>
          <t>Contact</t>
        </is>
      </c>
      <c r="N4" s="8" t="inlineStr">
        <is>
          <t>Email</t>
        </is>
      </c>
      <c r="O4" s="8" t="inlineStr">
        <is>
          <t>Net Sales (₱)</t>
        </is>
      </c>
    </row>
    <row r="5">
      <c r="A5" t="inlineStr">
        <is>
          <t>After | Jul 15–Aug 31</t>
        </is>
      </c>
      <c r="B5" s="23" t="n">
        <v>46259</v>
      </c>
      <c r="C5" t="inlineStr">
        <is>
          <t>Aug 31, 2026, 3:00:00 PM</t>
        </is>
      </c>
      <c r="D5" t="inlineStr">
        <is>
          <t>38744</t>
        </is>
      </c>
      <c r="E5" t="inlineStr">
        <is>
          <t>jose martinito</t>
        </is>
      </c>
      <c r="F5" t="inlineStr">
        <is>
          <t>MICHELIN 215/60/R17 PRIMACY 5 100V</t>
        </is>
      </c>
      <c r="G5" t="inlineStr">
        <is>
          <t>DEV</t>
        </is>
      </c>
      <c r="H5" t="inlineStr">
        <is>
          <t>Fulfilled</t>
        </is>
      </c>
      <c r="I5" t="inlineStr">
        <is>
          <t>DEV</t>
        </is>
      </c>
      <c r="J5" t="n">
        <v>4</v>
      </c>
      <c r="K5" t="inlineStr">
        <is>
          <t>Fully Paid</t>
        </is>
      </c>
      <c r="L5" t="inlineStr">
        <is>
          <t>Primacy 5</t>
        </is>
      </c>
      <c r="M5" t="inlineStr">
        <is>
          <t>09171189448</t>
        </is>
      </c>
      <c r="N5" t="inlineStr">
        <is>
          <t>martinitojosemari@gmail.com</t>
        </is>
      </c>
      <c r="O5" s="24" t="n">
        <v>31959.82</v>
      </c>
    </row>
    <row r="6">
      <c r="A6" t="inlineStr">
        <is>
          <t>After | Jul 15–Aug 31</t>
        </is>
      </c>
      <c r="B6" s="23" t="n">
        <v>46261</v>
      </c>
      <c r="C6" t="inlineStr">
        <is>
          <t>Aug 30, 2026, 9:00:00 AM</t>
        </is>
      </c>
      <c r="D6" t="inlineStr">
        <is>
          <t>38840</t>
        </is>
      </c>
      <c r="E6" t="inlineStr">
        <is>
          <t>alfred monteza</t>
        </is>
      </c>
      <c r="F6" t="inlineStr">
        <is>
          <t>MICHELIN 235/50/R19 PRIMACY 5 103W</t>
        </is>
      </c>
      <c r="G6" t="inlineStr">
        <is>
          <t>REMYLYN</t>
        </is>
      </c>
      <c r="H6" t="inlineStr">
        <is>
          <t>Fulfilled</t>
        </is>
      </c>
      <c r="I6" t="inlineStr">
        <is>
          <t>REMYLYN</t>
        </is>
      </c>
      <c r="J6" t="n">
        <v>4</v>
      </c>
      <c r="K6" t="inlineStr">
        <is>
          <t>Partial Payment</t>
        </is>
      </c>
      <c r="L6" t="inlineStr">
        <is>
          <t>Primacy 5</t>
        </is>
      </c>
      <c r="M6" t="inlineStr">
        <is>
          <t>0961-946-1212</t>
        </is>
      </c>
      <c r="N6" t="inlineStr">
        <is>
          <t>pepsicolapro48@gmail.com</t>
        </is>
      </c>
      <c r="O6" s="24" t="n">
        <v>44330.36</v>
      </c>
    </row>
    <row r="7">
      <c r="A7" t="inlineStr">
        <is>
          <t>After | Jul 15–Aug 31</t>
        </is>
      </c>
      <c r="B7" s="23" t="n">
        <v>46257</v>
      </c>
      <c r="C7" t="inlineStr">
        <is>
          <t>Aug 29, 2026, 2:00:00 PM</t>
        </is>
      </c>
      <c r="D7" t="inlineStr">
        <is>
          <t>38654</t>
        </is>
      </c>
      <c r="E7" t="inlineStr">
        <is>
          <t>Henry Aldave</t>
        </is>
      </c>
      <c r="F7" t="inlineStr">
        <is>
          <t>MICHELIN 225/60/R17 PRIMACY 5 103V</t>
        </is>
      </c>
      <c r="G7" t="inlineStr">
        <is>
          <t>DEV</t>
        </is>
      </c>
      <c r="H7" t="inlineStr">
        <is>
          <t>Fulfilled</t>
        </is>
      </c>
      <c r="I7" t="inlineStr">
        <is>
          <t>DEV</t>
        </is>
      </c>
      <c r="J7" t="n">
        <v>4</v>
      </c>
      <c r="K7" t="inlineStr">
        <is>
          <t>Fully Paid</t>
        </is>
      </c>
      <c r="L7" t="inlineStr">
        <is>
          <t>Primacy 5</t>
        </is>
      </c>
      <c r="M7" t="inlineStr">
        <is>
          <t>09178046793</t>
        </is>
      </c>
      <c r="N7" t="inlineStr">
        <is>
          <t>henryaldave@gmail.com</t>
        </is>
      </c>
      <c r="O7" s="24" t="n">
        <v>38303.57</v>
      </c>
    </row>
    <row r="8">
      <c r="A8" t="inlineStr">
        <is>
          <t>After | Jul 15–Aug 31</t>
        </is>
      </c>
      <c r="B8" s="23" t="n">
        <v>46260</v>
      </c>
      <c r="C8" t="inlineStr">
        <is>
          <t>Aug 29, 2026, 12:00:00 PM</t>
        </is>
      </c>
      <c r="D8" t="inlineStr">
        <is>
          <t>38802</t>
        </is>
      </c>
      <c r="E8" t="inlineStr">
        <is>
          <t>Dasol Sin</t>
        </is>
      </c>
      <c r="F8" t="inlineStr">
        <is>
          <t>MICHELIN 235/45/R18 PRIMACY 5 98Y</t>
        </is>
      </c>
      <c r="G8" t="inlineStr">
        <is>
          <t>DEV</t>
        </is>
      </c>
      <c r="H8" t="inlineStr">
        <is>
          <t>Fulfilled</t>
        </is>
      </c>
      <c r="I8" t="inlineStr">
        <is>
          <t>DEV</t>
        </is>
      </c>
      <c r="J8" t="n">
        <v>4</v>
      </c>
      <c r="K8" t="inlineStr">
        <is>
          <t>Partial Payment</t>
        </is>
      </c>
      <c r="L8" t="inlineStr">
        <is>
          <t>Primacy 5</t>
        </is>
      </c>
      <c r="M8" t="inlineStr">
        <is>
          <t>09190085811</t>
        </is>
      </c>
      <c r="N8" t="inlineStr">
        <is>
          <t>tlsekthf3@gmail.com</t>
        </is>
      </c>
      <c r="O8" s="24" t="n">
        <v>36616.07</v>
      </c>
    </row>
    <row r="9">
      <c r="A9" t="inlineStr">
        <is>
          <t>After | Jul 15–Aug 31</t>
        </is>
      </c>
      <c r="B9" s="23" t="n">
        <v>46259</v>
      </c>
      <c r="C9" t="inlineStr">
        <is>
          <t>Aug 28, 2026, 3:20:00 PM</t>
        </is>
      </c>
      <c r="D9" t="inlineStr">
        <is>
          <t>38769</t>
        </is>
      </c>
      <c r="E9" t="inlineStr">
        <is>
          <t>Michael Joseph Bautista</t>
        </is>
      </c>
      <c r="F9" t="inlineStr">
        <is>
          <t>MICHELIN 215/50/R17 PRIMACY 5 95W XL</t>
        </is>
      </c>
      <c r="G9" t="inlineStr">
        <is>
          <t>DEV</t>
        </is>
      </c>
      <c r="H9" t="inlineStr">
        <is>
          <t>Fulfilled</t>
        </is>
      </c>
      <c r="I9" t="inlineStr">
        <is>
          <t>DEV</t>
        </is>
      </c>
      <c r="J9" t="n">
        <v>4</v>
      </c>
      <c r="K9" t="inlineStr">
        <is>
          <t>Fully Paid</t>
        </is>
      </c>
      <c r="L9" t="inlineStr">
        <is>
          <t>Primacy 5</t>
        </is>
      </c>
      <c r="M9" t="inlineStr">
        <is>
          <t>09178419302</t>
        </is>
      </c>
      <c r="N9" t="inlineStr">
        <is>
          <t>michaelbautista09@gmail.com</t>
        </is>
      </c>
      <c r="O9" s="24" t="n">
        <v>31959.82</v>
      </c>
    </row>
    <row r="10">
      <c r="A10" t="inlineStr">
        <is>
          <t>After | Jul 15–Aug 31</t>
        </is>
      </c>
      <c r="B10" s="23" t="n">
        <v>46261</v>
      </c>
      <c r="C10" t="inlineStr">
        <is>
          <t>Aug 28, 2026, 3:00:00 PM</t>
        </is>
      </c>
      <c r="D10" t="inlineStr">
        <is>
          <t>38836</t>
        </is>
      </c>
      <c r="E10" t="inlineStr">
        <is>
          <t>William Gonzales</t>
        </is>
      </c>
      <c r="F10" t="inlineStr">
        <is>
          <t>MICHELIN 235/40/ZR18 PILOT SPORT 5 95Y XL TL</t>
        </is>
      </c>
      <c r="G10" t="inlineStr">
        <is>
          <t>DEV</t>
        </is>
      </c>
      <c r="H10" t="inlineStr">
        <is>
          <t>Fulfilled</t>
        </is>
      </c>
      <c r="I10" t="inlineStr">
        <is>
          <t>DEV</t>
        </is>
      </c>
      <c r="J10" t="n">
        <v>4</v>
      </c>
      <c r="K10" t="inlineStr">
        <is>
          <t>Fully Paid</t>
        </is>
      </c>
      <c r="L10" t="inlineStr">
        <is>
          <t>Pilot Sport 5</t>
        </is>
      </c>
      <c r="M10" t="inlineStr">
        <is>
          <t>0915-965-0706</t>
        </is>
      </c>
      <c r="N10" t="inlineStr">
        <is>
          <t>w_gonzales03@hotmail.com</t>
        </is>
      </c>
      <c r="O10" s="24" t="n">
        <v>43513.39</v>
      </c>
    </row>
    <row r="11">
      <c r="A11" t="inlineStr">
        <is>
          <t>After | Jul 15–Aug 31</t>
        </is>
      </c>
      <c r="B11" s="23" t="n">
        <v>46259</v>
      </c>
      <c r="C11" t="inlineStr">
        <is>
          <t>Aug 28, 2026, 10:00:00 AM</t>
        </is>
      </c>
      <c r="D11" t="inlineStr">
        <is>
          <t>38754</t>
        </is>
      </c>
      <c r="E11" t="inlineStr">
        <is>
          <t>Mario Gapuz Jr</t>
        </is>
      </c>
      <c r="F11" t="inlineStr">
        <is>
          <t>MICHELIN 235/50/R19 PILOT SPORT 4 SUV S1 99V</t>
        </is>
      </c>
      <c r="G11" t="inlineStr">
        <is>
          <t>DEV</t>
        </is>
      </c>
      <c r="H11" t="inlineStr">
        <is>
          <t>Fulfilled</t>
        </is>
      </c>
      <c r="I11" t="inlineStr">
        <is>
          <t>DEV</t>
        </is>
      </c>
      <c r="J11" t="n">
        <v>4</v>
      </c>
      <c r="K11" t="inlineStr">
        <is>
          <t>Fully Paid</t>
        </is>
      </c>
      <c r="L11" t="inlineStr">
        <is>
          <t>Pilot Sport 4 S</t>
        </is>
      </c>
      <c r="M11" t="inlineStr">
        <is>
          <t>09566847795</t>
        </is>
      </c>
      <c r="N11" t="inlineStr">
        <is>
          <t>galgapuz@gmail.com</t>
        </is>
      </c>
      <c r="O11" s="24" t="n">
        <v>52821.43</v>
      </c>
    </row>
    <row r="12">
      <c r="A12" t="inlineStr">
        <is>
          <t>After | Jul 15–Aug 31</t>
        </is>
      </c>
      <c r="B12" s="23" t="n">
        <v>46260</v>
      </c>
      <c r="C12" t="inlineStr">
        <is>
          <t>Aug 28, 2026, 9:00:00 AM</t>
        </is>
      </c>
      <c r="D12" t="inlineStr">
        <is>
          <t>38817</t>
        </is>
      </c>
      <c r="E12" t="inlineStr">
        <is>
          <t>Gil katigbak</t>
        </is>
      </c>
      <c r="F12" t="inlineStr">
        <is>
          <t>MICHELIN 255/55/R18 LATITUDE SPORT 3 ZP 109V</t>
        </is>
      </c>
      <c r="G12" t="inlineStr">
        <is>
          <t>DEV</t>
        </is>
      </c>
      <c r="H12" t="inlineStr">
        <is>
          <t>Fulfilled</t>
        </is>
      </c>
      <c r="I12" t="inlineStr">
        <is>
          <t>DEV</t>
        </is>
      </c>
      <c r="J12" t="n">
        <v>4</v>
      </c>
      <c r="K12" t="inlineStr">
        <is>
          <t>Fully Paid</t>
        </is>
      </c>
      <c r="L12" t="inlineStr">
        <is>
          <t>Latitude Sport 3</t>
        </is>
      </c>
      <c r="M12" t="inlineStr">
        <is>
          <t>0917-852-011</t>
        </is>
      </c>
      <c r="N12" t="inlineStr">
        <is>
          <t>gil.katigbak@gmail.com</t>
        </is>
      </c>
      <c r="O12" s="24" t="n">
        <v>68678.57000000001</v>
      </c>
    </row>
    <row r="13">
      <c r="A13" t="inlineStr">
        <is>
          <t>After | Jul 15–Aug 31</t>
        </is>
      </c>
      <c r="B13" s="23" t="n">
        <v>46258</v>
      </c>
      <c r="C13" t="inlineStr">
        <is>
          <t>Aug 27, 2026, 6:30:00 PM</t>
        </is>
      </c>
      <c r="D13" t="inlineStr">
        <is>
          <t>38720</t>
        </is>
      </c>
      <c r="E13" t="inlineStr">
        <is>
          <t>Lauro III Leviste</t>
        </is>
      </c>
      <c r="F13" t="inlineStr">
        <is>
          <t>MICHELIN 265/50/R20 PILOT SPORT 4 SUV 107V</t>
        </is>
      </c>
      <c r="G13" t="inlineStr">
        <is>
          <t>DEV</t>
        </is>
      </c>
      <c r="H13" t="inlineStr">
        <is>
          <t>Fulfilled</t>
        </is>
      </c>
      <c r="I13" t="inlineStr">
        <is>
          <t>DEV</t>
        </is>
      </c>
      <c r="J13" t="n">
        <v>4</v>
      </c>
      <c r="K13" t="inlineStr">
        <is>
          <t>Fully Paid</t>
        </is>
      </c>
      <c r="L13" t="inlineStr">
        <is>
          <t>Pilot Sport 4 S</t>
        </is>
      </c>
      <c r="M13" t="inlineStr">
        <is>
          <t>09178368336</t>
        </is>
      </c>
      <c r="N13" t="inlineStr">
        <is>
          <t>roccoleviste@yahoo.com</t>
        </is>
      </c>
      <c r="O13" s="24" t="n">
        <v>40008.93</v>
      </c>
    </row>
    <row r="14">
      <c r="A14" t="inlineStr">
        <is>
          <t>After | Jul 15–Aug 31</t>
        </is>
      </c>
      <c r="B14" s="23" t="n">
        <v>46258</v>
      </c>
      <c r="C14" t="inlineStr">
        <is>
          <t>Aug 27, 2026, 9:00:00 AM</t>
        </is>
      </c>
      <c r="D14" t="inlineStr">
        <is>
          <t>38710</t>
        </is>
      </c>
      <c r="E14" t="inlineStr">
        <is>
          <t>Erwin John Esperanza</t>
        </is>
      </c>
      <c r="F14" t="inlineStr">
        <is>
          <t>MICHELIN 225/55/R18 PRIMACY 5 102V</t>
        </is>
      </c>
      <c r="G14" t="inlineStr">
        <is>
          <t>DEV</t>
        </is>
      </c>
      <c r="H14" t="inlineStr">
        <is>
          <t>Fulfilled</t>
        </is>
      </c>
      <c r="I14" t="inlineStr">
        <is>
          <t>DEV</t>
        </is>
      </c>
      <c r="J14" t="n">
        <v>4</v>
      </c>
      <c r="K14" t="inlineStr">
        <is>
          <t>Fully Paid</t>
        </is>
      </c>
      <c r="L14" t="inlineStr">
        <is>
          <t>Primacy 5</t>
        </is>
      </c>
      <c r="M14" t="inlineStr">
        <is>
          <t>09985655090</t>
        </is>
      </c>
      <c r="N14" t="inlineStr">
        <is>
          <t>erwin.esperanza@gmail.com</t>
        </is>
      </c>
      <c r="O14" s="24" t="n">
        <v>35799.11</v>
      </c>
    </row>
    <row r="15">
      <c r="A15" t="inlineStr">
        <is>
          <t>After | Jul 15–Aug 31</t>
        </is>
      </c>
      <c r="B15" s="23" t="n">
        <v>46254</v>
      </c>
      <c r="C15" t="inlineStr">
        <is>
          <t>Aug 26, 2026, 2:00:00 PM</t>
        </is>
      </c>
      <c r="D15" t="inlineStr">
        <is>
          <t>38581</t>
        </is>
      </c>
      <c r="E15" t="inlineStr">
        <is>
          <t>Victor Leo Katigbac</t>
        </is>
      </c>
      <c r="F15" t="inlineStr">
        <is>
          <t>MICHELIN 205/60/R16 PRIMACY 5 96W XL</t>
        </is>
      </c>
      <c r="G15" t="inlineStr">
        <is>
          <t>DEV</t>
        </is>
      </c>
      <c r="H15" t="inlineStr">
        <is>
          <t>Fulfilled</t>
        </is>
      </c>
      <c r="I15" t="inlineStr">
        <is>
          <t>DEV</t>
        </is>
      </c>
      <c r="J15" t="n">
        <v>4</v>
      </c>
      <c r="K15" t="inlineStr">
        <is>
          <t>Fully Paid</t>
        </is>
      </c>
      <c r="L15" t="inlineStr">
        <is>
          <t>Primacy 5</t>
        </is>
      </c>
      <c r="M15" t="inlineStr">
        <is>
          <t>09173174770</t>
        </is>
      </c>
      <c r="N15" t="inlineStr">
        <is>
          <t>leokatigbac@yahoo.com</t>
        </is>
      </c>
      <c r="O15" s="24" t="n">
        <v>25571.43</v>
      </c>
    </row>
    <row r="16">
      <c r="A16" t="inlineStr">
        <is>
          <t>After | Jul 15–Aug 31</t>
        </is>
      </c>
      <c r="B16" s="23" t="n">
        <v>46258</v>
      </c>
      <c r="C16" t="inlineStr">
        <is>
          <t>Aug 26, 2026, 9:00:00 AM</t>
        </is>
      </c>
      <c r="D16" t="inlineStr">
        <is>
          <t>38711</t>
        </is>
      </c>
      <c r="E16" t="inlineStr">
        <is>
          <t>***NA *****ON</t>
        </is>
      </c>
      <c r="F16" t="inlineStr">
        <is>
          <t>MICHELIN 195/60/R16 PRIMACY 5 93V</t>
        </is>
      </c>
      <c r="G16" t="inlineStr">
        <is>
          <t>ROLYN ANG</t>
        </is>
      </c>
      <c r="H16" t="inlineStr">
        <is>
          <t>Fulfilled</t>
        </is>
      </c>
      <c r="I16" t="inlineStr">
        <is>
          <t>ROLYN ANG</t>
        </is>
      </c>
      <c r="J16" t="n">
        <v>4</v>
      </c>
      <c r="K16" t="inlineStr">
        <is>
          <t>Fully Paid</t>
        </is>
      </c>
      <c r="L16" t="inlineStr">
        <is>
          <t>Primacy 5</t>
        </is>
      </c>
      <c r="M16" t="inlineStr">
        <is>
          <t>09175392562</t>
        </is>
      </c>
      <c r="N16" t="inlineStr">
        <is>
          <t>trina_s@yahoo.com</t>
        </is>
      </c>
      <c r="O16" s="24" t="n">
        <v>26964.29</v>
      </c>
    </row>
    <row r="17">
      <c r="A17" t="inlineStr">
        <is>
          <t>After | Jul 15–Aug 31</t>
        </is>
      </c>
      <c r="B17" s="23" t="n">
        <v>46253</v>
      </c>
      <c r="C17" t="inlineStr">
        <is>
          <t>Aug 25, 2026, 3:00:00 PM</t>
        </is>
      </c>
      <c r="D17" t="inlineStr">
        <is>
          <t>38515</t>
        </is>
      </c>
      <c r="E17" t="inlineStr">
        <is>
          <t>Earl Balbontin</t>
        </is>
      </c>
      <c r="F17" t="inlineStr">
        <is>
          <t>MICHELIN 225/55/R17 PRIMACY 5 101W</t>
        </is>
      </c>
      <c r="G17" t="inlineStr">
        <is>
          <t>DEV</t>
        </is>
      </c>
      <c r="H17" t="inlineStr">
        <is>
          <t>Fulfilled</t>
        </is>
      </c>
      <c r="I17" t="inlineStr">
        <is>
          <t>DEV</t>
        </is>
      </c>
      <c r="J17" t="n">
        <v>4</v>
      </c>
      <c r="K17" t="inlineStr">
        <is>
          <t>Fully Paid</t>
        </is>
      </c>
      <c r="L17" t="inlineStr">
        <is>
          <t>Primacy 5</t>
        </is>
      </c>
      <c r="M17" t="inlineStr">
        <is>
          <t>09175704117</t>
        </is>
      </c>
      <c r="N17" t="inlineStr">
        <is>
          <t>balbontinearl@gmail.com</t>
        </is>
      </c>
      <c r="O17" s="24" t="n">
        <v>33991.07</v>
      </c>
    </row>
    <row r="18">
      <c r="A18" t="inlineStr">
        <is>
          <t>After | Jul 15–Aug 31</t>
        </is>
      </c>
      <c r="B18" s="23" t="n">
        <v>46256</v>
      </c>
      <c r="C18" t="inlineStr">
        <is>
          <t>Aug 25, 2026, 1:00:00 PM</t>
        </is>
      </c>
      <c r="D18" t="inlineStr">
        <is>
          <t>38641</t>
        </is>
      </c>
      <c r="E18" t="inlineStr">
        <is>
          <t>Jose Mari Inumerable</t>
        </is>
      </c>
      <c r="F18" t="inlineStr">
        <is>
          <t>MICHELIN 225/55/R19 PILOT SPORT 4 SUV 99V</t>
        </is>
      </c>
      <c r="G18" t="inlineStr">
        <is>
          <t>DEV</t>
        </is>
      </c>
      <c r="H18" t="inlineStr">
        <is>
          <t>Fulfilled</t>
        </is>
      </c>
      <c r="I18" t="inlineStr">
        <is>
          <t>DEV</t>
        </is>
      </c>
      <c r="J18" t="n">
        <v>4</v>
      </c>
      <c r="K18" t="inlineStr">
        <is>
          <t>Fully Paid</t>
        </is>
      </c>
      <c r="L18" t="inlineStr">
        <is>
          <t>Pilot Sport 4 S</t>
        </is>
      </c>
      <c r="M18" t="inlineStr">
        <is>
          <t>09209526306</t>
        </is>
      </c>
      <c r="N18" t="inlineStr">
        <is>
          <t>joelpots@yahoo.com</t>
        </is>
      </c>
      <c r="O18" s="24" t="n">
        <v>53357.14</v>
      </c>
    </row>
    <row r="19">
      <c r="A19" t="inlineStr">
        <is>
          <t>After | Jul 15–Aug 31</t>
        </is>
      </c>
      <c r="B19" s="23" t="n">
        <v>46258</v>
      </c>
      <c r="C19" t="inlineStr">
        <is>
          <t>Aug 25, 2026, 10:00:00 AM</t>
        </is>
      </c>
      <c r="D19" t="inlineStr">
        <is>
          <t>38675</t>
        </is>
      </c>
      <c r="E19" t="inlineStr">
        <is>
          <t>DR Juanito SP lazaro</t>
        </is>
      </c>
      <c r="F19" t="inlineStr">
        <is>
          <t>MICHELIN 225/45/ZR17 PILOT SPORT 5 94Y XL TL</t>
        </is>
      </c>
      <c r="G19" t="inlineStr">
        <is>
          <t>DEV</t>
        </is>
      </c>
      <c r="H19" t="inlineStr">
        <is>
          <t>Fulfilled</t>
        </is>
      </c>
      <c r="I19" t="inlineStr">
        <is>
          <t>DEV</t>
        </is>
      </c>
      <c r="J19" t="n">
        <v>5</v>
      </c>
      <c r="K19" t="inlineStr">
        <is>
          <t>Fully Paid</t>
        </is>
      </c>
      <c r="L19" t="inlineStr">
        <is>
          <t>Pilot Sport 5</t>
        </is>
      </c>
      <c r="M19" t="inlineStr">
        <is>
          <t>6391-751-6890</t>
        </is>
      </c>
      <c r="N19" t="inlineStr">
        <is>
          <t>-@gmail.com</t>
        </is>
      </c>
      <c r="O19" s="24" t="n">
        <v>59857.14</v>
      </c>
    </row>
    <row r="20">
      <c r="A20" t="inlineStr">
        <is>
          <t>After | Jul 15–Aug 31</t>
        </is>
      </c>
      <c r="B20" s="23" t="n">
        <v>46255</v>
      </c>
      <c r="C20" t="inlineStr">
        <is>
          <t>Aug 25, 2026, 9:00:00 AM</t>
        </is>
      </c>
      <c r="D20" t="inlineStr">
        <is>
          <t>38593</t>
        </is>
      </c>
      <c r="E20" t="inlineStr">
        <is>
          <t>John Malvin Angeles</t>
        </is>
      </c>
      <c r="F20" t="inlineStr">
        <is>
          <t>MICHELIN 215/50/R17 PRIMACY 5 95W XL</t>
        </is>
      </c>
      <c r="G20" t="inlineStr">
        <is>
          <t>DEV</t>
        </is>
      </c>
      <c r="H20" t="inlineStr">
        <is>
          <t>Fulfilled</t>
        </is>
      </c>
      <c r="I20" t="inlineStr">
        <is>
          <t>DEV</t>
        </is>
      </c>
      <c r="J20" t="n">
        <v>4</v>
      </c>
      <c r="K20" t="inlineStr">
        <is>
          <t>Fully Paid</t>
        </is>
      </c>
      <c r="L20" t="inlineStr">
        <is>
          <t>Primacy 5</t>
        </is>
      </c>
      <c r="M20" t="inlineStr">
        <is>
          <t>09178810553</t>
        </is>
      </c>
      <c r="N20" t="inlineStr">
        <is>
          <t>johnmalvinangeles@gmail.com</t>
        </is>
      </c>
      <c r="O20" s="24" t="n">
        <v>32049.11</v>
      </c>
    </row>
    <row r="21">
      <c r="A21" t="inlineStr">
        <is>
          <t>After | Jul 15–Aug 31</t>
        </is>
      </c>
      <c r="B21" s="23" t="n">
        <v>46253</v>
      </c>
      <c r="C21" t="inlineStr">
        <is>
          <t>Aug 24, 2026, 9:00:00 AM</t>
        </is>
      </c>
      <c r="D21" t="inlineStr">
        <is>
          <t>38538</t>
        </is>
      </c>
      <c r="E21" t="inlineStr">
        <is>
          <t>Christopher Datugan</t>
        </is>
      </c>
      <c r="F21" t="inlineStr">
        <is>
          <t>MICHELIN 215/55/R17 PRIMACY 5 94V</t>
        </is>
      </c>
      <c r="G21" t="inlineStr">
        <is>
          <t>DEV</t>
        </is>
      </c>
      <c r="H21" t="inlineStr">
        <is>
          <t>Fulfilled</t>
        </is>
      </c>
      <c r="I21" t="inlineStr">
        <is>
          <t>DEV</t>
        </is>
      </c>
      <c r="J21" t="n">
        <v>4</v>
      </c>
      <c r="K21" t="inlineStr">
        <is>
          <t>Fully Paid</t>
        </is>
      </c>
      <c r="L21" t="inlineStr">
        <is>
          <t>Primacy 5</t>
        </is>
      </c>
      <c r="M21" t="inlineStr">
        <is>
          <t>09267121829</t>
        </is>
      </c>
      <c r="N21" t="inlineStr">
        <is>
          <t>tupedatugan@gmail.com</t>
        </is>
      </c>
      <c r="O21" s="24" t="n">
        <v>32334.82</v>
      </c>
    </row>
    <row r="22">
      <c r="A22" t="inlineStr">
        <is>
          <t>After | Jul 15–Aug 31</t>
        </is>
      </c>
      <c r="B22" s="23" t="n">
        <v>46252</v>
      </c>
      <c r="C22" t="inlineStr">
        <is>
          <t>Aug 22, 2026, 2:00:00 PM</t>
        </is>
      </c>
      <c r="D22" t="inlineStr">
        <is>
          <t>38486</t>
        </is>
      </c>
      <c r="E22" t="inlineStr">
        <is>
          <t>Andrew U. Arellano</t>
        </is>
      </c>
      <c r="F22" t="inlineStr">
        <is>
          <t>MICHELIN 205/55/R17 PRIMACY 5 95W</t>
        </is>
      </c>
      <c r="G22" t="inlineStr">
        <is>
          <t>ROLYN ANG</t>
        </is>
      </c>
      <c r="H22" t="inlineStr">
        <is>
          <t>Fulfilled</t>
        </is>
      </c>
      <c r="I22" t="inlineStr">
        <is>
          <t>ROLYN ANG</t>
        </is>
      </c>
      <c r="J22" t="n">
        <v>4</v>
      </c>
      <c r="K22" t="inlineStr">
        <is>
          <t>Fully Paid</t>
        </is>
      </c>
      <c r="L22" t="inlineStr">
        <is>
          <t>Primacy 5</t>
        </is>
      </c>
      <c r="M22" t="inlineStr">
        <is>
          <t>0929-719-2471</t>
        </is>
      </c>
      <c r="N22" t="inlineStr">
        <is>
          <t>aandrewu@yahoo.com</t>
        </is>
      </c>
      <c r="O22" s="24" t="n">
        <v>31084.82</v>
      </c>
    </row>
    <row r="23">
      <c r="A23" t="inlineStr">
        <is>
          <t>After | Jul 15–Aug 31</t>
        </is>
      </c>
      <c r="B23" s="23" t="n">
        <v>46254</v>
      </c>
      <c r="C23" t="inlineStr">
        <is>
          <t>Aug 22, 2026, 1:00:00 PM</t>
        </is>
      </c>
      <c r="D23" t="inlineStr">
        <is>
          <t>38551</t>
        </is>
      </c>
      <c r="E23" t="inlineStr">
        <is>
          <t>Nikko Patio</t>
        </is>
      </c>
      <c r="F23" t="inlineStr">
        <is>
          <t>MICHELIN 265/35/ZR18 PILOT SPORT 5 97Y</t>
        </is>
      </c>
      <c r="G23" t="inlineStr">
        <is>
          <t>AIRA</t>
        </is>
      </c>
      <c r="H23" t="inlineStr">
        <is>
          <t>Fulfilled</t>
        </is>
      </c>
      <c r="I23" t="inlineStr">
        <is>
          <t>AIRA</t>
        </is>
      </c>
      <c r="J23" t="n">
        <v>4</v>
      </c>
      <c r="K23" t="inlineStr">
        <is>
          <t>Fully Paid</t>
        </is>
      </c>
      <c r="L23" t="inlineStr">
        <is>
          <t>Pilot Sport 5</t>
        </is>
      </c>
      <c r="M23" t="inlineStr">
        <is>
          <t>0915-254-2637</t>
        </is>
      </c>
      <c r="N23" t="inlineStr">
        <is>
          <t>pationiko@gmail.com</t>
        </is>
      </c>
      <c r="O23" s="24" t="n">
        <v>42000</v>
      </c>
    </row>
    <row r="24">
      <c r="A24" t="inlineStr">
        <is>
          <t>After | Jul 15–Aug 31</t>
        </is>
      </c>
      <c r="B24" s="23" t="n">
        <v>46254</v>
      </c>
      <c r="C24" t="inlineStr">
        <is>
          <t>Aug 22, 2026, 9:00:00 AM</t>
        </is>
      </c>
      <c r="D24" t="inlineStr">
        <is>
          <t>38569</t>
        </is>
      </c>
      <c r="E24" t="inlineStr">
        <is>
          <t>Patrick Matias</t>
        </is>
      </c>
      <c r="F24" t="inlineStr">
        <is>
          <t>MICHELIN 255/45/ZR19 PILOT SPORT 5 104Y XL TL</t>
        </is>
      </c>
      <c r="G24" t="inlineStr">
        <is>
          <t>ROLYN ANG</t>
        </is>
      </c>
      <c r="H24" t="inlineStr">
        <is>
          <t>Fulfilled</t>
        </is>
      </c>
      <c r="I24" t="inlineStr">
        <is>
          <t>ROLYN ANG</t>
        </is>
      </c>
      <c r="J24" t="n">
        <v>4</v>
      </c>
      <c r="K24" t="inlineStr">
        <is>
          <t>Fully Paid</t>
        </is>
      </c>
      <c r="L24" t="inlineStr">
        <is>
          <t>Pilot Sport 5</t>
        </is>
      </c>
      <c r="M24" t="inlineStr">
        <is>
          <t>0998-575-9763</t>
        </is>
      </c>
      <c r="N24" t="inlineStr">
        <is>
          <t>patjosmatias2@gmail.com</t>
        </is>
      </c>
      <c r="O24" s="24" t="n">
        <v>46875</v>
      </c>
    </row>
    <row r="25">
      <c r="A25" t="inlineStr">
        <is>
          <t>After | Jul 15–Aug 31</t>
        </is>
      </c>
      <c r="B25" s="23" t="n">
        <v>46225</v>
      </c>
      <c r="C25" t="inlineStr">
        <is>
          <t>Aug 22, 2026, 9:00:00 AM</t>
        </is>
      </c>
      <c r="D25" t="inlineStr">
        <is>
          <t>37436</t>
        </is>
      </c>
      <c r="E25" t="inlineStr">
        <is>
          <t>Ralph BUENAVENTURA</t>
        </is>
      </c>
      <c r="F25" t="inlineStr">
        <is>
          <t>MICHELIN 215/55/R18 PRIMACY 5 99V</t>
        </is>
      </c>
      <c r="G25" t="inlineStr">
        <is>
          <t>DEV</t>
        </is>
      </c>
      <c r="H25" t="inlineStr">
        <is>
          <t>Fulfilled</t>
        </is>
      </c>
      <c r="I25" t="inlineStr">
        <is>
          <t>DEV</t>
        </is>
      </c>
      <c r="J25" t="n">
        <v>4</v>
      </c>
      <c r="K25" t="inlineStr">
        <is>
          <t>Fully Paid</t>
        </is>
      </c>
      <c r="L25" t="inlineStr">
        <is>
          <t>Primacy 5</t>
        </is>
      </c>
      <c r="M25" t="inlineStr">
        <is>
          <t>09154922722</t>
        </is>
      </c>
      <c r="N25" t="inlineStr">
        <is>
          <t>ralphrhomar@gmail.com</t>
        </is>
      </c>
      <c r="O25" s="24" t="n">
        <v>40044.64</v>
      </c>
    </row>
    <row r="26">
      <c r="A26" t="inlineStr">
        <is>
          <t>After | Jul 15–Aug 31</t>
        </is>
      </c>
      <c r="B26" s="23" t="n">
        <v>46220</v>
      </c>
      <c r="C26" t="inlineStr">
        <is>
          <t>Aug 21, 2026, 10:00:00 AM</t>
        </is>
      </c>
      <c r="D26" t="inlineStr">
        <is>
          <t>37208</t>
        </is>
      </c>
      <c r="E26" t="inlineStr">
        <is>
          <t>YNA sanguyo</t>
        </is>
      </c>
      <c r="F26" t="inlineStr">
        <is>
          <t>MICHELIN 215/55/R18 PRIMACY 5 99V</t>
        </is>
      </c>
      <c r="G26" t="inlineStr">
        <is>
          <t>AIRA</t>
        </is>
      </c>
      <c r="H26" t="inlineStr">
        <is>
          <t>Fulfilled</t>
        </is>
      </c>
      <c r="I26" t="inlineStr">
        <is>
          <t>AIRA</t>
        </is>
      </c>
      <c r="J26" t="n">
        <v>4</v>
      </c>
      <c r="K26" t="inlineStr">
        <is>
          <t>Fully Paid</t>
        </is>
      </c>
      <c r="L26" t="inlineStr">
        <is>
          <t>Primacy 5</t>
        </is>
      </c>
      <c r="M26" t="inlineStr">
        <is>
          <t>0918-555-3964</t>
        </is>
      </c>
      <c r="N26" t="inlineStr">
        <is>
          <t>yna_yna_yna@yahoo.com</t>
        </is>
      </c>
      <c r="O26" s="24" t="n">
        <v>40580.36</v>
      </c>
    </row>
    <row r="27">
      <c r="A27" t="inlineStr">
        <is>
          <t>After | Jul 15–Aug 31</t>
        </is>
      </c>
      <c r="B27" s="23" t="n">
        <v>46249</v>
      </c>
      <c r="C27" t="inlineStr">
        <is>
          <t>Aug 21, 2026, 9:00:00 AM</t>
        </is>
      </c>
      <c r="D27" t="inlineStr">
        <is>
          <t>38378</t>
        </is>
      </c>
      <c r="E27" t="inlineStr">
        <is>
          <t>Ian Kevin Antonio</t>
        </is>
      </c>
      <c r="F27" t="inlineStr">
        <is>
          <t>MICHELIN 205/60/R16 PRIMACY 5 96W XL</t>
        </is>
      </c>
      <c r="G27" t="inlineStr">
        <is>
          <t>TAIRA</t>
        </is>
      </c>
      <c r="H27" t="inlineStr">
        <is>
          <t>Fulfilled</t>
        </is>
      </c>
      <c r="I27" t="inlineStr">
        <is>
          <t>SARAH MAE MANANSALA</t>
        </is>
      </c>
      <c r="J27" t="n">
        <v>4</v>
      </c>
      <c r="K27" t="inlineStr">
        <is>
          <t>Fully Paid</t>
        </is>
      </c>
      <c r="L27" t="inlineStr">
        <is>
          <t>Primacy 5</t>
        </is>
      </c>
      <c r="M27" t="inlineStr">
        <is>
          <t>0960-231-3464</t>
        </is>
      </c>
      <c r="N27" t="inlineStr">
        <is>
          <t>iankevinantonio@gmail.com</t>
        </is>
      </c>
      <c r="O27" s="24" t="n">
        <v>26196.43</v>
      </c>
    </row>
    <row r="28">
      <c r="A28" t="inlineStr">
        <is>
          <t>After | Jul 15–Aug 31</t>
        </is>
      </c>
      <c r="B28" s="23" t="n">
        <v>46253</v>
      </c>
      <c r="C28" t="inlineStr">
        <is>
          <t>Aug 20, 2026, 1:00:00 PM</t>
        </is>
      </c>
      <c r="D28" t="inlineStr">
        <is>
          <t>38514</t>
        </is>
      </c>
      <c r="E28" t="inlineStr">
        <is>
          <t>Ian Miranda</t>
        </is>
      </c>
      <c r="F28" t="inlineStr">
        <is>
          <t>MICHELIN 205/45/R17 PILOT SPORT 5 88Y</t>
        </is>
      </c>
      <c r="G28" t="inlineStr">
        <is>
          <t>SARAH MAE MANANSALA</t>
        </is>
      </c>
      <c r="H28" t="inlineStr">
        <is>
          <t>Fulfilled</t>
        </is>
      </c>
      <c r="I28" t="inlineStr">
        <is>
          <t>SARAH MAE MANANSALA</t>
        </is>
      </c>
      <c r="J28" t="n">
        <v>4</v>
      </c>
      <c r="K28" t="inlineStr">
        <is>
          <t>Partial Payment</t>
        </is>
      </c>
      <c r="L28" t="inlineStr">
        <is>
          <t>Pilot Sport 5</t>
        </is>
      </c>
      <c r="M28" t="inlineStr">
        <is>
          <t>0917-157-8705</t>
        </is>
      </c>
      <c r="N28" t="inlineStr">
        <is>
          <t>ronald.ian.miranda@gmail.com</t>
        </is>
      </c>
      <c r="O28" s="24" t="n">
        <v>35571.43</v>
      </c>
    </row>
    <row r="29">
      <c r="A29" t="inlineStr">
        <is>
          <t>After | Jul 15–Aug 31</t>
        </is>
      </c>
      <c r="B29" s="23" t="n">
        <v>46247</v>
      </c>
      <c r="C29" t="inlineStr">
        <is>
          <t>Aug 20, 2026, 1:00:00 PM</t>
        </is>
      </c>
      <c r="D29" t="inlineStr">
        <is>
          <t>38293</t>
        </is>
      </c>
      <c r="E29" t="inlineStr">
        <is>
          <t>Michelle Paez</t>
        </is>
      </c>
      <c r="F29" t="inlineStr">
        <is>
          <t>MICHELIN 205/55/R16 PRIMACY 5 91W</t>
        </is>
      </c>
      <c r="G29" t="inlineStr">
        <is>
          <t>DEV</t>
        </is>
      </c>
      <c r="H29" t="inlineStr">
        <is>
          <t>Fulfilled</t>
        </is>
      </c>
      <c r="I29" t="inlineStr">
        <is>
          <t>DEV</t>
        </is>
      </c>
      <c r="J29" t="n">
        <v>4</v>
      </c>
      <c r="K29" t="inlineStr">
        <is>
          <t>Fully Paid</t>
        </is>
      </c>
      <c r="L29" t="inlineStr">
        <is>
          <t>Primacy 5</t>
        </is>
      </c>
      <c r="M29" t="inlineStr">
        <is>
          <t>09989757575</t>
        </is>
      </c>
      <c r="N29" t="inlineStr">
        <is>
          <t>keimav168@gmail.com</t>
        </is>
      </c>
      <c r="O29" s="24" t="n">
        <v>23732.14</v>
      </c>
    </row>
    <row r="30">
      <c r="A30" t="inlineStr">
        <is>
          <t>After | Jul 15–Aug 31</t>
        </is>
      </c>
      <c r="B30" s="23" t="n">
        <v>46251</v>
      </c>
      <c r="C30" t="inlineStr">
        <is>
          <t>Aug 19, 2026, 3:00:00 PM</t>
        </is>
      </c>
      <c r="D30" t="inlineStr">
        <is>
          <t>38424</t>
        </is>
      </c>
      <c r="E30" t="inlineStr">
        <is>
          <t>Marinelle Martos</t>
        </is>
      </c>
      <c r="F30" t="inlineStr">
        <is>
          <t>MICHELIN 205/65/R16 PRIMACY 5 95W</t>
        </is>
      </c>
      <c r="G30" t="inlineStr">
        <is>
          <t>DEV</t>
        </is>
      </c>
      <c r="H30" t="inlineStr">
        <is>
          <t>Fulfilled</t>
        </is>
      </c>
      <c r="I30" t="inlineStr">
        <is>
          <t>DEV</t>
        </is>
      </c>
      <c r="J30" t="n">
        <v>4</v>
      </c>
      <c r="K30" t="inlineStr">
        <is>
          <t>Fully Paid</t>
        </is>
      </c>
      <c r="L30" t="inlineStr">
        <is>
          <t>Primacy 5</t>
        </is>
      </c>
      <c r="M30" t="inlineStr">
        <is>
          <t>09173230706</t>
        </is>
      </c>
      <c r="N30" t="inlineStr">
        <is>
          <t>marilyn.cruz0829@gmail.com</t>
        </is>
      </c>
      <c r="O30" s="24" t="n">
        <v>22294.64</v>
      </c>
    </row>
    <row r="31">
      <c r="A31" t="inlineStr">
        <is>
          <t>After | Jul 15–Aug 31</t>
        </is>
      </c>
      <c r="B31" s="23" t="n">
        <v>46239</v>
      </c>
      <c r="C31" t="inlineStr">
        <is>
          <t>Aug 19, 2026, 1:00:00 PM</t>
        </is>
      </c>
      <c r="D31" t="inlineStr">
        <is>
          <t>37963</t>
        </is>
      </c>
      <c r="E31" t="inlineStr">
        <is>
          <t>Serge E. Grynkewich</t>
        </is>
      </c>
      <c r="F31" t="inlineStr">
        <is>
          <t>MICHELIN 275/45/R21 LATITUDE SPORT 3 107Y</t>
        </is>
      </c>
      <c r="G31" t="inlineStr">
        <is>
          <t>TAIRA</t>
        </is>
      </c>
      <c r="H31" t="inlineStr">
        <is>
          <t>Fulfilled</t>
        </is>
      </c>
      <c r="I31" t="inlineStr">
        <is>
          <t>SARAH MAE MANANSALA</t>
        </is>
      </c>
      <c r="J31" t="n">
        <v>4</v>
      </c>
      <c r="K31" t="inlineStr">
        <is>
          <t>Fully Paid</t>
        </is>
      </c>
      <c r="L31" t="inlineStr">
        <is>
          <t>Latitude Sport 3</t>
        </is>
      </c>
      <c r="M31" t="inlineStr">
        <is>
          <t>0917-138-0996</t>
        </is>
      </c>
      <c r="N31" t="inlineStr">
        <is>
          <t>kingbaby811@gmail.com</t>
        </is>
      </c>
      <c r="O31" s="24" t="n">
        <v>114000</v>
      </c>
    </row>
    <row r="32">
      <c r="A32" t="inlineStr">
        <is>
          <t>After | Jul 15–Aug 31</t>
        </is>
      </c>
      <c r="B32" s="23" t="n">
        <v>46252</v>
      </c>
      <c r="C32" t="inlineStr">
        <is>
          <t>Aug 19, 2026, 1:00:00 PM</t>
        </is>
      </c>
      <c r="D32" t="inlineStr">
        <is>
          <t>38487</t>
        </is>
      </c>
      <c r="E32" t="inlineStr">
        <is>
          <t>Ruther Sumipo</t>
        </is>
      </c>
      <c r="F32" t="inlineStr">
        <is>
          <t>MICHELIN 235/50/R18 PRIMACY 5 97W</t>
        </is>
      </c>
      <c r="G32" t="inlineStr">
        <is>
          <t>REMYLYN</t>
        </is>
      </c>
      <c r="H32" t="inlineStr">
        <is>
          <t>Fulfilled</t>
        </is>
      </c>
      <c r="I32" t="inlineStr">
        <is>
          <t>REMYLYN</t>
        </is>
      </c>
      <c r="J32" t="n">
        <v>4</v>
      </c>
      <c r="K32" t="inlineStr">
        <is>
          <t>Fully Paid</t>
        </is>
      </c>
      <c r="L32" t="inlineStr">
        <is>
          <t>Primacy 5</t>
        </is>
      </c>
      <c r="M32" t="inlineStr">
        <is>
          <t>0921-238-2218</t>
        </is>
      </c>
      <c r="N32" t="inlineStr">
        <is>
          <t>ruthersumipo@yahoo.com</t>
        </is>
      </c>
      <c r="O32" s="24" t="n">
        <v>37727.68</v>
      </c>
    </row>
    <row r="33">
      <c r="A33" t="inlineStr">
        <is>
          <t>After | Jul 15–Aug 31</t>
        </is>
      </c>
      <c r="B33" s="23" t="n">
        <v>46251</v>
      </c>
      <c r="C33" t="inlineStr">
        <is>
          <t>Aug 19, 2026, 10:00:00 AM</t>
        </is>
      </c>
      <c r="D33" t="inlineStr">
        <is>
          <t>38436</t>
        </is>
      </c>
      <c r="E33" t="inlineStr">
        <is>
          <t>eugene alison</t>
        </is>
      </c>
      <c r="F33" t="inlineStr">
        <is>
          <t>MICHELIN 215/55/R17 PRIMACY 5 94V</t>
        </is>
      </c>
      <c r="G33" t="inlineStr">
        <is>
          <t>ROLYN ANG</t>
        </is>
      </c>
      <c r="H33" t="inlineStr">
        <is>
          <t>Fulfilled</t>
        </is>
      </c>
      <c r="I33" t="inlineStr">
        <is>
          <t>ROLYN ANG</t>
        </is>
      </c>
      <c r="J33" t="n">
        <v>4</v>
      </c>
      <c r="K33" t="inlineStr">
        <is>
          <t>Fully Paid</t>
        </is>
      </c>
      <c r="L33" t="inlineStr">
        <is>
          <t>Primacy 5</t>
        </is>
      </c>
      <c r="M33" t="inlineStr">
        <is>
          <t>0927-542-7806</t>
        </is>
      </c>
      <c r="N33" t="inlineStr">
        <is>
          <t>eugenexalison@gmail.com</t>
        </is>
      </c>
      <c r="O33" s="24" t="n">
        <v>32959.82</v>
      </c>
    </row>
    <row r="34">
      <c r="A34" t="inlineStr">
        <is>
          <t>After | Jul 15–Aug 31</t>
        </is>
      </c>
      <c r="B34" s="23" t="n">
        <v>46247</v>
      </c>
      <c r="C34" t="inlineStr">
        <is>
          <t>Aug 18, 2026, 1:30:00 PM</t>
        </is>
      </c>
      <c r="D34" t="inlineStr">
        <is>
          <t>38306</t>
        </is>
      </c>
      <c r="E34" t="inlineStr">
        <is>
          <t>Almon Samiano</t>
        </is>
      </c>
      <c r="F34" t="inlineStr">
        <is>
          <t>MICHELIN 265/35/ZR18 PILOT SPORT 5 97Y</t>
        </is>
      </c>
      <c r="G34" t="inlineStr">
        <is>
          <t>DEV</t>
        </is>
      </c>
      <c r="H34" t="inlineStr">
        <is>
          <t>Fulfilled</t>
        </is>
      </c>
      <c r="I34" t="inlineStr">
        <is>
          <t>DEV</t>
        </is>
      </c>
      <c r="J34" t="n">
        <v>4</v>
      </c>
      <c r="K34" t="inlineStr">
        <is>
          <t>Fully Paid</t>
        </is>
      </c>
      <c r="L34" t="inlineStr">
        <is>
          <t>Pilot Sport 5</t>
        </is>
      </c>
      <c r="M34" t="inlineStr">
        <is>
          <t>09167798429</t>
        </is>
      </c>
      <c r="N34" t="inlineStr">
        <is>
          <t>almonsamiano@gmail.com</t>
        </is>
      </c>
      <c r="O34" s="24" t="n">
        <v>41464.29</v>
      </c>
    </row>
    <row r="35">
      <c r="A35" t="inlineStr">
        <is>
          <t>After | Jul 15–Aug 31</t>
        </is>
      </c>
      <c r="B35" s="23" t="n">
        <v>46249</v>
      </c>
      <c r="C35" t="inlineStr">
        <is>
          <t>Aug 18, 2026, 9:00:00 AM</t>
        </is>
      </c>
      <c r="D35" t="inlineStr">
        <is>
          <t>38370</t>
        </is>
      </c>
      <c r="E35" t="inlineStr">
        <is>
          <t>Daniel Michael Chua</t>
        </is>
      </c>
      <c r="F35" t="inlineStr">
        <is>
          <t>MICHELIN 205/55/R16 PRIMACY 5 91W</t>
        </is>
      </c>
      <c r="G35" t="inlineStr">
        <is>
          <t>SARAH MAE MANANSALA</t>
        </is>
      </c>
      <c r="H35" t="inlineStr">
        <is>
          <t>Fulfilled</t>
        </is>
      </c>
      <c r="I35" t="inlineStr">
        <is>
          <t>SARAH MAE MANANSALA</t>
        </is>
      </c>
      <c r="J35" t="n">
        <v>4</v>
      </c>
      <c r="K35" t="inlineStr">
        <is>
          <t>Fully Paid</t>
        </is>
      </c>
      <c r="L35" t="inlineStr">
        <is>
          <t>Primacy 5</t>
        </is>
      </c>
      <c r="M35" t="inlineStr">
        <is>
          <t>0998-592-4993</t>
        </is>
      </c>
      <c r="N35" t="inlineStr">
        <is>
          <t>daniel_fchua@yahoo.com</t>
        </is>
      </c>
      <c r="O35" s="24" t="n">
        <v>23732.14</v>
      </c>
    </row>
    <row r="36">
      <c r="A36" t="inlineStr">
        <is>
          <t>After | Jul 15–Aug 31</t>
        </is>
      </c>
      <c r="B36" s="23" t="n">
        <v>46250</v>
      </c>
      <c r="C36" t="inlineStr">
        <is>
          <t>Aug 17, 2026, 10:00:00 AM</t>
        </is>
      </c>
      <c r="D36" t="inlineStr">
        <is>
          <t>38404</t>
        </is>
      </c>
      <c r="E36" t="inlineStr">
        <is>
          <t>Noreen Escobar</t>
        </is>
      </c>
      <c r="F36" t="inlineStr">
        <is>
          <t>MICHELIN 225/55/R18 PRIMACY 5 102V</t>
        </is>
      </c>
      <c r="G36" t="inlineStr">
        <is>
          <t>REMYLYN</t>
        </is>
      </c>
      <c r="H36" t="inlineStr">
        <is>
          <t>Fulfilled</t>
        </is>
      </c>
      <c r="I36" t="inlineStr">
        <is>
          <t>REMYLYN</t>
        </is>
      </c>
      <c r="J36" t="n">
        <v>4</v>
      </c>
      <c r="K36" t="inlineStr">
        <is>
          <t>Partial Payment</t>
        </is>
      </c>
      <c r="L36" t="inlineStr">
        <is>
          <t>Primacy 5</t>
        </is>
      </c>
      <c r="M36" t="inlineStr">
        <is>
          <t>0917-799-7917</t>
        </is>
      </c>
      <c r="N36" t="inlineStr">
        <is>
          <t>noreen.obgyn0814@gmail.com</t>
        </is>
      </c>
      <c r="O36" s="24" t="n">
        <v>35799.11</v>
      </c>
    </row>
    <row r="37">
      <c r="A37" t="inlineStr">
        <is>
          <t>After | Jul 15–Aug 31</t>
        </is>
      </c>
      <c r="B37" s="23" t="n">
        <v>46249</v>
      </c>
      <c r="C37" t="inlineStr">
        <is>
          <t>Aug 17, 2026, 9:00:00 AM</t>
        </is>
      </c>
      <c r="D37" t="inlineStr">
        <is>
          <t>38368</t>
        </is>
      </c>
      <c r="E37" t="inlineStr">
        <is>
          <t>Rodney rubica</t>
        </is>
      </c>
      <c r="F37" t="inlineStr">
        <is>
          <t>MICHELIN 235/55/R19 PILOT SPORT 4 SUV 105Y</t>
        </is>
      </c>
      <c r="G37" t="inlineStr">
        <is>
          <t>REMYLYN</t>
        </is>
      </c>
      <c r="H37" t="inlineStr">
        <is>
          <t>Fulfilled</t>
        </is>
      </c>
      <c r="I37" t="inlineStr">
        <is>
          <t>REMYLYN</t>
        </is>
      </c>
      <c r="J37" t="n">
        <v>4</v>
      </c>
      <c r="K37" t="inlineStr">
        <is>
          <t>Partial Payment</t>
        </is>
      </c>
      <c r="L37" t="inlineStr">
        <is>
          <t>Pilot Sport 4 S</t>
        </is>
      </c>
      <c r="M37" t="inlineStr">
        <is>
          <t>0917-312-5033</t>
        </is>
      </c>
      <c r="N37" t="inlineStr">
        <is>
          <t>rodneyrubica@icloud.com</t>
        </is>
      </c>
      <c r="O37" s="24" t="n">
        <v>59209.82</v>
      </c>
    </row>
    <row r="38">
      <c r="A38" t="inlineStr">
        <is>
          <t>After | Jul 15–Aug 31</t>
        </is>
      </c>
      <c r="B38" s="23" t="n">
        <v>46247</v>
      </c>
      <c r="C38" t="inlineStr">
        <is>
          <t>Aug 16, 2026, 8:30:00 AM</t>
        </is>
      </c>
      <c r="D38" t="inlineStr">
        <is>
          <t>38286</t>
        </is>
      </c>
      <c r="E38" t="inlineStr">
        <is>
          <t>Jeremy Almuete</t>
        </is>
      </c>
      <c r="F38" t="inlineStr">
        <is>
          <t>MICHELIN 205/45/R17 PILOT SPORT 5 88Y</t>
        </is>
      </c>
      <c r="G38" t="inlineStr">
        <is>
          <t>DEV</t>
        </is>
      </c>
      <c r="H38" t="inlineStr">
        <is>
          <t>Fulfilled</t>
        </is>
      </c>
      <c r="I38" t="inlineStr">
        <is>
          <t>DEV</t>
        </is>
      </c>
      <c r="J38" t="n">
        <v>4</v>
      </c>
      <c r="K38" t="inlineStr">
        <is>
          <t>Fully Paid</t>
        </is>
      </c>
      <c r="L38" t="inlineStr">
        <is>
          <t>Pilot Sport 5</t>
        </is>
      </c>
      <c r="M38" t="inlineStr">
        <is>
          <t>09190948906</t>
        </is>
      </c>
      <c r="N38" t="inlineStr">
        <is>
          <t>almuete.jeremy@gmail.com</t>
        </is>
      </c>
      <c r="O38" s="24" t="n">
        <v>34946.43</v>
      </c>
    </row>
    <row r="39">
      <c r="A39" t="inlineStr">
        <is>
          <t>After | Jul 15–Aug 31</t>
        </is>
      </c>
      <c r="B39" s="23" t="n">
        <v>46231</v>
      </c>
      <c r="C39" t="inlineStr">
        <is>
          <t>Aug 15, 2026, 1:51:00 PM</t>
        </is>
      </c>
      <c r="D39" t="inlineStr">
        <is>
          <t>37649</t>
        </is>
      </c>
      <c r="E39" t="inlineStr">
        <is>
          <t>Rodney McCulloch</t>
        </is>
      </c>
      <c r="F39" t="inlineStr">
        <is>
          <t>MICHELIN 215/55/R18 PRIMACY 5 99V</t>
        </is>
      </c>
      <c r="G39" t="inlineStr">
        <is>
          <t>DEV</t>
        </is>
      </c>
      <c r="H39" t="inlineStr">
        <is>
          <t>Fulfilled</t>
        </is>
      </c>
      <c r="I39" t="inlineStr">
        <is>
          <t>DEV</t>
        </is>
      </c>
      <c r="J39" t="n">
        <v>4</v>
      </c>
      <c r="K39" t="inlineStr">
        <is>
          <t>Fully Paid</t>
        </is>
      </c>
      <c r="L39" t="inlineStr">
        <is>
          <t>Primacy 5</t>
        </is>
      </c>
      <c r="M39" t="inlineStr">
        <is>
          <t>09455571413</t>
        </is>
      </c>
      <c r="N39" t="inlineStr">
        <is>
          <t>drummerrod@gmail.com</t>
        </is>
      </c>
      <c r="O39" s="24" t="n">
        <v>40044.64</v>
      </c>
    </row>
    <row r="40">
      <c r="A40" t="inlineStr">
        <is>
          <t>After | Jul 15–Aug 31</t>
        </is>
      </c>
      <c r="B40" s="23" t="n">
        <v>46247</v>
      </c>
      <c r="C40" t="inlineStr">
        <is>
          <t>Aug 15, 2026, 1:00:00 PM</t>
        </is>
      </c>
      <c r="D40" t="inlineStr">
        <is>
          <t>38297</t>
        </is>
      </c>
      <c r="E40" t="inlineStr">
        <is>
          <t>Jay Cabuloy</t>
        </is>
      </c>
      <c r="F40" t="inlineStr">
        <is>
          <t>MICHELIN 215/55/R17 PRIMACY 5 94V</t>
        </is>
      </c>
      <c r="G40" t="inlineStr">
        <is>
          <t>DEV</t>
        </is>
      </c>
      <c r="H40" t="inlineStr">
        <is>
          <t>Fulfilled</t>
        </is>
      </c>
      <c r="I40" t="inlineStr">
        <is>
          <t>DEV</t>
        </is>
      </c>
      <c r="J40" t="n">
        <v>4</v>
      </c>
      <c r="K40" t="inlineStr">
        <is>
          <t>Fully Paid</t>
        </is>
      </c>
      <c r="L40" t="inlineStr">
        <is>
          <t>Primacy 5</t>
        </is>
      </c>
      <c r="M40" t="inlineStr">
        <is>
          <t>09176226316</t>
        </is>
      </c>
      <c r="N40" t="inlineStr">
        <is>
          <t>jaycabs@gmail.com</t>
        </is>
      </c>
      <c r="O40" s="24" t="n">
        <v>32424.11</v>
      </c>
    </row>
    <row r="41">
      <c r="A41" t="inlineStr">
        <is>
          <t>After | Jul 15–Aug 31</t>
        </is>
      </c>
      <c r="B41" s="23" t="n">
        <v>46246</v>
      </c>
      <c r="C41" t="inlineStr">
        <is>
          <t>Aug 15, 2026, 10:00:00 AM</t>
        </is>
      </c>
      <c r="D41" t="inlineStr">
        <is>
          <t>38229</t>
        </is>
      </c>
      <c r="E41" t="inlineStr">
        <is>
          <t>Kristine Lazarito</t>
        </is>
      </c>
      <c r="F41" t="inlineStr">
        <is>
          <t>MICHELIN 235/50/R19 PRIMACY 5 103W</t>
        </is>
      </c>
      <c r="G41" t="inlineStr">
        <is>
          <t>DEV</t>
        </is>
      </c>
      <c r="H41" t="inlineStr">
        <is>
          <t>Fulfilled</t>
        </is>
      </c>
      <c r="I41" t="inlineStr">
        <is>
          <t>DEV</t>
        </is>
      </c>
      <c r="J41" t="n">
        <v>4</v>
      </c>
      <c r="K41" t="inlineStr">
        <is>
          <t>Fully Paid</t>
        </is>
      </c>
      <c r="L41" t="inlineStr">
        <is>
          <t>Primacy 5</t>
        </is>
      </c>
      <c r="M41" t="inlineStr">
        <is>
          <t>09171740017</t>
        </is>
      </c>
      <c r="N41" t="inlineStr">
        <is>
          <t>kbeckham23@gmail.com</t>
        </is>
      </c>
      <c r="O41" s="24" t="n">
        <v>43750</v>
      </c>
    </row>
    <row r="42">
      <c r="A42" t="inlineStr">
        <is>
          <t>After | Jul 15–Aug 31</t>
        </is>
      </c>
      <c r="B42" s="23" t="n">
        <v>46246</v>
      </c>
      <c r="C42" t="inlineStr">
        <is>
          <t>Aug 15, 2026, 9:00:00 AM</t>
        </is>
      </c>
      <c r="D42" t="inlineStr">
        <is>
          <t>38236</t>
        </is>
      </c>
      <c r="E42" t="inlineStr">
        <is>
          <t>Romar v. Egualan</t>
        </is>
      </c>
      <c r="F42" t="inlineStr">
        <is>
          <t>MICHELIN 255/40/ZR19 PILOT SPORT 5 100Y</t>
        </is>
      </c>
      <c r="G42" t="inlineStr">
        <is>
          <t>TAIRA</t>
        </is>
      </c>
      <c r="H42" t="inlineStr">
        <is>
          <t>Fulfilled</t>
        </is>
      </c>
      <c r="I42" t="inlineStr">
        <is>
          <t>SARAH MAE MANANSALA</t>
        </is>
      </c>
      <c r="J42" t="n">
        <v>4</v>
      </c>
      <c r="K42" t="inlineStr">
        <is>
          <t>Fully Paid</t>
        </is>
      </c>
      <c r="L42" t="inlineStr">
        <is>
          <t>Pilot Sport 5</t>
        </is>
      </c>
      <c r="M42" t="inlineStr">
        <is>
          <t>0949-595-6502</t>
        </is>
      </c>
      <c r="N42" t="inlineStr">
        <is>
          <t>marmae029@gmail.com</t>
        </is>
      </c>
      <c r="O42" s="24" t="n">
        <v>42000</v>
      </c>
    </row>
    <row r="43">
      <c r="A43" t="inlineStr">
        <is>
          <t>After | Jul 15–Aug 31</t>
        </is>
      </c>
      <c r="B43" s="23" t="n">
        <v>46247</v>
      </c>
      <c r="C43" t="inlineStr">
        <is>
          <t>Aug 15, 2026, 9:00:00 AM</t>
        </is>
      </c>
      <c r="D43" t="inlineStr">
        <is>
          <t>38299</t>
        </is>
      </c>
      <c r="E43" t="inlineStr">
        <is>
          <t>Melbert Reyes</t>
        </is>
      </c>
      <c r="F43" t="inlineStr">
        <is>
          <t>MICHELIN 205/55/R17 PRIMACY 5 95W</t>
        </is>
      </c>
      <c r="G43" t="inlineStr">
        <is>
          <t>DEV</t>
        </is>
      </c>
      <c r="H43" t="inlineStr">
        <is>
          <t>Fulfilled</t>
        </is>
      </c>
      <c r="I43" t="inlineStr">
        <is>
          <t>DEV</t>
        </is>
      </c>
      <c r="J43" t="n">
        <v>5</v>
      </c>
      <c r="K43" t="inlineStr">
        <is>
          <t>Fully Paid</t>
        </is>
      </c>
      <c r="L43" t="inlineStr">
        <is>
          <t>Primacy 5</t>
        </is>
      </c>
      <c r="M43" t="inlineStr">
        <is>
          <t>09959521821</t>
        </is>
      </c>
      <c r="N43" t="inlineStr">
        <is>
          <t>narsmel27@gmail.com</t>
        </is>
      </c>
      <c r="O43" s="24" t="n">
        <v>40821.43</v>
      </c>
    </row>
    <row r="44">
      <c r="A44" t="inlineStr">
        <is>
          <t>After | Jul 15–Aug 31</t>
        </is>
      </c>
      <c r="B44" s="23" t="n">
        <v>46247</v>
      </c>
      <c r="C44" t="inlineStr">
        <is>
          <t>Aug 14, 2026, 1:00:00 PM</t>
        </is>
      </c>
      <c r="D44" t="inlineStr">
        <is>
          <t>38273</t>
        </is>
      </c>
      <c r="E44" t="inlineStr">
        <is>
          <t>Lexus Rei Cabanting</t>
        </is>
      </c>
      <c r="F44" t="inlineStr">
        <is>
          <t>MICHELIN 245/35/ZR18 PILOT SPORT 5 92Y</t>
        </is>
      </c>
      <c r="G44" t="inlineStr">
        <is>
          <t>AIRA</t>
        </is>
      </c>
      <c r="H44" t="inlineStr">
        <is>
          <t>Fulfilled</t>
        </is>
      </c>
      <c r="I44" t="inlineStr">
        <is>
          <t>AIRA</t>
        </is>
      </c>
      <c r="J44" t="n">
        <v>4</v>
      </c>
      <c r="K44" t="inlineStr">
        <is>
          <t>Fully Paid</t>
        </is>
      </c>
      <c r="L44" t="inlineStr">
        <is>
          <t>Pilot Sport 5</t>
        </is>
      </c>
      <c r="M44" t="inlineStr">
        <is>
          <t>0998-730-0077</t>
        </is>
      </c>
      <c r="N44" t="inlineStr">
        <is>
          <t>Sireihecarecenter@gmail.com</t>
        </is>
      </c>
      <c r="O44" s="24" t="n">
        <v>55446.43</v>
      </c>
    </row>
    <row r="45">
      <c r="A45" t="inlineStr">
        <is>
          <t>After | Jul 15–Aug 31</t>
        </is>
      </c>
      <c r="B45" s="23" t="n">
        <v>46246</v>
      </c>
      <c r="C45" t="inlineStr">
        <is>
          <t>Aug 13, 2026, 3:00:00 PM</t>
        </is>
      </c>
      <c r="D45" t="inlineStr">
        <is>
          <t>38249</t>
        </is>
      </c>
      <c r="E45" t="inlineStr">
        <is>
          <t>Glade Goding</t>
        </is>
      </c>
      <c r="F45" t="inlineStr">
        <is>
          <t>MICHELIN 245/35/ZR19 PILOT SPORT 5 93Y XL TL</t>
        </is>
      </c>
      <c r="G45" t="inlineStr">
        <is>
          <t>REMYLYN</t>
        </is>
      </c>
      <c r="H45" t="inlineStr">
        <is>
          <t>Fulfilled</t>
        </is>
      </c>
      <c r="I45" t="inlineStr">
        <is>
          <t>REMYLYN</t>
        </is>
      </c>
      <c r="J45" t="n">
        <v>4</v>
      </c>
      <c r="K45" t="inlineStr">
        <is>
          <t>Fully Paid</t>
        </is>
      </c>
      <c r="L45" t="inlineStr">
        <is>
          <t>Pilot Sport 5</t>
        </is>
      </c>
      <c r="M45" t="inlineStr">
        <is>
          <t>0968-451-1010</t>
        </is>
      </c>
      <c r="N45" t="inlineStr">
        <is>
          <t>glade@travelonline.ph</t>
        </is>
      </c>
      <c r="O45" s="24" t="n">
        <v>53571.43</v>
      </c>
    </row>
    <row r="46">
      <c r="A46" t="inlineStr">
        <is>
          <t>After | Jul 15–Aug 31</t>
        </is>
      </c>
      <c r="B46" s="23" t="n">
        <v>46246</v>
      </c>
      <c r="C46" t="inlineStr">
        <is>
          <t>Aug 13, 2026, 3:00:00 PM</t>
        </is>
      </c>
      <c r="D46" t="inlineStr">
        <is>
          <t>38243</t>
        </is>
      </c>
      <c r="E46" t="inlineStr">
        <is>
          <t>Gregory M Temple</t>
        </is>
      </c>
      <c r="F46" t="inlineStr">
        <is>
          <t>MICHELIN 245/45/ZR19 PILOT SPORT 5 102Y XL TL</t>
        </is>
      </c>
      <c r="G46" t="inlineStr">
        <is>
          <t>DEV</t>
        </is>
      </c>
      <c r="H46" t="inlineStr">
        <is>
          <t>Fulfilled</t>
        </is>
      </c>
      <c r="I46" t="inlineStr">
        <is>
          <t>DEV</t>
        </is>
      </c>
      <c r="J46" t="n">
        <v>4</v>
      </c>
      <c r="K46" t="inlineStr">
        <is>
          <t>Fully Paid</t>
        </is>
      </c>
      <c r="L46" t="inlineStr">
        <is>
          <t>Pilot Sport 5</t>
        </is>
      </c>
      <c r="M46" t="inlineStr">
        <is>
          <t>0920-957-2314</t>
        </is>
      </c>
      <c r="N46" t="inlineStr">
        <is>
          <t>Greg.temple@ymail.com</t>
        </is>
      </c>
      <c r="O46" s="24" t="n">
        <v>54830.36</v>
      </c>
    </row>
    <row r="47">
      <c r="A47" t="inlineStr">
        <is>
          <t>After | Jul 15–Aug 31</t>
        </is>
      </c>
      <c r="B47" s="23" t="n">
        <v>46245</v>
      </c>
      <c r="C47" t="inlineStr">
        <is>
          <t>Aug 13, 2026, 8:00:00 AM</t>
        </is>
      </c>
      <c r="D47" t="inlineStr">
        <is>
          <t>38164</t>
        </is>
      </c>
      <c r="E47" t="inlineStr">
        <is>
          <t>Mikhail Alekseenko</t>
        </is>
      </c>
      <c r="F47" t="inlineStr">
        <is>
          <t>MICHELIN 225/60/R17 PRIMACY 5 103V</t>
        </is>
      </c>
      <c r="G47" t="inlineStr">
        <is>
          <t>DEV</t>
        </is>
      </c>
      <c r="H47" t="inlineStr">
        <is>
          <t>Fulfilled</t>
        </is>
      </c>
      <c r="I47" t="inlineStr">
        <is>
          <t>DEV</t>
        </is>
      </c>
      <c r="J47" t="n">
        <v>4</v>
      </c>
      <c r="K47" t="inlineStr">
        <is>
          <t>Fully Paid</t>
        </is>
      </c>
      <c r="L47" t="inlineStr">
        <is>
          <t>Primacy 5</t>
        </is>
      </c>
      <c r="M47" t="inlineStr">
        <is>
          <t>09455918118</t>
        </is>
      </c>
      <c r="N47" t="inlineStr">
        <is>
          <t>diesel95.95@mail.ru</t>
        </is>
      </c>
      <c r="O47" s="24" t="n">
        <v>40089.29</v>
      </c>
    </row>
    <row r="48">
      <c r="A48" t="inlineStr">
        <is>
          <t>After | Jul 15–Aug 31</t>
        </is>
      </c>
      <c r="B48" s="23" t="n">
        <v>46241</v>
      </c>
      <c r="C48" t="inlineStr">
        <is>
          <t>Aug 12, 2026, 9:00:00 AM</t>
        </is>
      </c>
      <c r="D48" t="inlineStr">
        <is>
          <t>38046</t>
        </is>
      </c>
      <c r="E48" t="inlineStr">
        <is>
          <t>Martin Calvin flogio</t>
        </is>
      </c>
      <c r="F48" t="inlineStr">
        <is>
          <t>MICHELIN 245/40/ZR19 PILOT SPORT 5 98Y</t>
        </is>
      </c>
      <c r="G48" t="inlineStr">
        <is>
          <t>DEV</t>
        </is>
      </c>
      <c r="H48" t="inlineStr">
        <is>
          <t>Fulfilled</t>
        </is>
      </c>
      <c r="I48" t="inlineStr">
        <is>
          <t>DEV</t>
        </is>
      </c>
      <c r="J48" t="n">
        <v>4</v>
      </c>
      <c r="K48" t="inlineStr">
        <is>
          <t>Partial Payment</t>
        </is>
      </c>
      <c r="L48" t="inlineStr">
        <is>
          <t>Pilot Sport 5</t>
        </is>
      </c>
      <c r="M48" t="inlineStr">
        <is>
          <t>09278052529</t>
        </is>
      </c>
      <c r="N48" t="inlineStr">
        <is>
          <t>martincalvinflogio@gmail.com</t>
        </is>
      </c>
      <c r="O48" s="24" t="n">
        <v>44678.57</v>
      </c>
    </row>
    <row r="49">
      <c r="A49" t="inlineStr">
        <is>
          <t>After | Jul 15–Aug 31</t>
        </is>
      </c>
      <c r="B49" s="23" t="n">
        <v>46240</v>
      </c>
      <c r="C49" t="inlineStr">
        <is>
          <t>Aug 12, 2026, 9:00:00 AM</t>
        </is>
      </c>
      <c r="D49" t="inlineStr">
        <is>
          <t>37983</t>
        </is>
      </c>
      <c r="E49" t="inlineStr">
        <is>
          <t>Karl Vincent David</t>
        </is>
      </c>
      <c r="F49" t="inlineStr">
        <is>
          <t>MICHELIN 195/60/R16 PRIMACY 5 93V</t>
        </is>
      </c>
      <c r="G49" t="inlineStr">
        <is>
          <t>DEV</t>
        </is>
      </c>
      <c r="H49" t="inlineStr">
        <is>
          <t>Fulfilled</t>
        </is>
      </c>
      <c r="I49" t="inlineStr">
        <is>
          <t>DEV</t>
        </is>
      </c>
      <c r="J49" t="n">
        <v>4</v>
      </c>
      <c r="K49" t="inlineStr">
        <is>
          <t>Fully Paid</t>
        </is>
      </c>
      <c r="L49" t="inlineStr">
        <is>
          <t>Primacy 5</t>
        </is>
      </c>
      <c r="M49" t="inlineStr">
        <is>
          <t>09178015275</t>
        </is>
      </c>
      <c r="N49" t="inlineStr">
        <is>
          <t>karldavid2000@yahoo.com</t>
        </is>
      </c>
      <c r="O49" s="24" t="n">
        <v>28303.57</v>
      </c>
    </row>
    <row r="50">
      <c r="A50" t="inlineStr">
        <is>
          <t>After | Jul 15–Aug 31</t>
        </is>
      </c>
      <c r="B50" s="23" t="n">
        <v>46241</v>
      </c>
      <c r="C50" t="inlineStr">
        <is>
          <t>Aug 12, 2026, 8:30:00 AM</t>
        </is>
      </c>
      <c r="D50" t="inlineStr">
        <is>
          <t>38048</t>
        </is>
      </c>
      <c r="E50" t="inlineStr">
        <is>
          <t>Hugo Hung</t>
        </is>
      </c>
      <c r="F50" t="inlineStr">
        <is>
          <t>MICHELIN 235/50/R18 PRIMACY 5 97W</t>
        </is>
      </c>
      <c r="G50" t="inlineStr">
        <is>
          <t>REMYLYN</t>
        </is>
      </c>
      <c r="H50" t="inlineStr">
        <is>
          <t>Fulfilled</t>
        </is>
      </c>
      <c r="I50" t="inlineStr">
        <is>
          <t>REMYLYN</t>
        </is>
      </c>
      <c r="J50" t="n">
        <v>4</v>
      </c>
      <c r="K50" t="inlineStr">
        <is>
          <t>Fully Paid</t>
        </is>
      </c>
      <c r="L50" t="inlineStr">
        <is>
          <t>Primacy 5</t>
        </is>
      </c>
      <c r="M50" t="inlineStr">
        <is>
          <t>09176761828</t>
        </is>
      </c>
      <c r="N50" t="inlineStr">
        <is>
          <t>if_hugo@yahoo.com.hk</t>
        </is>
      </c>
      <c r="O50" s="24" t="n">
        <v>39870.54</v>
      </c>
    </row>
    <row r="51">
      <c r="A51" t="inlineStr">
        <is>
          <t>After | Jul 15–Aug 31</t>
        </is>
      </c>
      <c r="B51" s="23" t="n">
        <v>46244</v>
      </c>
      <c r="C51" t="inlineStr">
        <is>
          <t>Aug 11, 2026, 1:00:00 PM</t>
        </is>
      </c>
      <c r="D51" t="inlineStr">
        <is>
          <t>38121</t>
        </is>
      </c>
      <c r="E51" t="inlineStr">
        <is>
          <t>Alfredo Wendell Besana</t>
        </is>
      </c>
      <c r="F51" t="inlineStr">
        <is>
          <t>MICHELIN 205/60/R16 PRIMACY 5 96W XL</t>
        </is>
      </c>
      <c r="G51" t="inlineStr">
        <is>
          <t>ROLYN ANG</t>
        </is>
      </c>
      <c r="H51" t="inlineStr">
        <is>
          <t>Fulfilled</t>
        </is>
      </c>
      <c r="I51" t="inlineStr">
        <is>
          <t>ROLYN ANG</t>
        </is>
      </c>
      <c r="J51" t="n">
        <v>4</v>
      </c>
      <c r="K51" t="inlineStr">
        <is>
          <t>Fully Paid</t>
        </is>
      </c>
      <c r="L51" t="inlineStr">
        <is>
          <t>Primacy 5</t>
        </is>
      </c>
      <c r="M51" t="inlineStr">
        <is>
          <t>0917-847-5071</t>
        </is>
      </c>
      <c r="N51" t="inlineStr">
        <is>
          <t>alfred.recruitment@gmail.com</t>
        </is>
      </c>
      <c r="O51" s="24" t="n">
        <v>27535.71</v>
      </c>
    </row>
    <row r="52">
      <c r="A52" t="inlineStr">
        <is>
          <t>After | Jul 15–Aug 31</t>
        </is>
      </c>
      <c r="B52" s="23" t="n">
        <v>46241</v>
      </c>
      <c r="C52" t="inlineStr">
        <is>
          <t>Aug 11, 2026, 1:00:00 PM</t>
        </is>
      </c>
      <c r="D52" t="inlineStr">
        <is>
          <t>38047</t>
        </is>
      </c>
      <c r="E52" t="inlineStr">
        <is>
          <t>Jay Casti</t>
        </is>
      </c>
      <c r="F52" t="inlineStr">
        <is>
          <t>MICHELIN 245/40/ZR18 PILOT SPORT 5 97Y XL TL</t>
        </is>
      </c>
      <c r="G52" t="inlineStr">
        <is>
          <t>ROLYN ANG</t>
        </is>
      </c>
      <c r="H52" t="inlineStr">
        <is>
          <t>Fulfilled</t>
        </is>
      </c>
      <c r="I52" t="inlineStr">
        <is>
          <t>ROLYN ANG</t>
        </is>
      </c>
      <c r="J52" t="n">
        <v>4</v>
      </c>
      <c r="K52" t="inlineStr">
        <is>
          <t>Fully Paid</t>
        </is>
      </c>
      <c r="L52" t="inlineStr">
        <is>
          <t>Pilot Sport 5</t>
        </is>
      </c>
      <c r="M52" t="inlineStr">
        <is>
          <t>0961-199-3368</t>
        </is>
      </c>
      <c r="N52" t="inlineStr">
        <is>
          <t>bjaycastillo28@gmail.com</t>
        </is>
      </c>
      <c r="O52" s="24" t="n">
        <v>40044.64</v>
      </c>
    </row>
    <row r="53">
      <c r="A53" t="inlineStr">
        <is>
          <t>After | Jul 15–Aug 31</t>
        </is>
      </c>
      <c r="B53" s="23" t="n">
        <v>46241</v>
      </c>
      <c r="C53" t="inlineStr">
        <is>
          <t>Aug 11, 2026, 10:00:00 AM</t>
        </is>
      </c>
      <c r="D53" t="inlineStr">
        <is>
          <t>38044</t>
        </is>
      </c>
      <c r="E53" t="inlineStr">
        <is>
          <t>Williard M. Lacar</t>
        </is>
      </c>
      <c r="F53" t="inlineStr">
        <is>
          <t>MICHELIN 205/65/R16 PRIMACY 5 95W</t>
        </is>
      </c>
      <c r="G53" t="inlineStr">
        <is>
          <t>ROLYN ANG</t>
        </is>
      </c>
      <c r="H53" t="inlineStr">
        <is>
          <t>Fulfilled</t>
        </is>
      </c>
      <c r="I53" t="inlineStr">
        <is>
          <t>ROLYN ANG</t>
        </is>
      </c>
      <c r="J53" t="n">
        <v>4</v>
      </c>
      <c r="K53" t="inlineStr">
        <is>
          <t>Fully Paid</t>
        </is>
      </c>
      <c r="L53" t="inlineStr">
        <is>
          <t>Primacy 5</t>
        </is>
      </c>
      <c r="M53" t="inlineStr">
        <is>
          <t>0968-362-6538</t>
        </is>
      </c>
      <c r="N53" t="inlineStr">
        <is>
          <t>superman23yap@gmail.com</t>
        </is>
      </c>
      <c r="O53" s="24" t="n">
        <v>20982.14</v>
      </c>
    </row>
    <row r="54">
      <c r="A54" t="inlineStr">
        <is>
          <t>After | Jul 15–Aug 31</t>
        </is>
      </c>
      <c r="B54" s="23" t="n">
        <v>46241</v>
      </c>
      <c r="C54" t="inlineStr">
        <is>
          <t>Aug 10, 2026, 1:00:00 PM</t>
        </is>
      </c>
      <c r="D54" t="inlineStr">
        <is>
          <t>38050</t>
        </is>
      </c>
      <c r="E54" t="inlineStr">
        <is>
          <t>Junichiro Nagasawa</t>
        </is>
      </c>
      <c r="F54" t="inlineStr">
        <is>
          <t>MICHELIN 225/50/R18 PRIMACY 5 99W</t>
        </is>
      </c>
      <c r="G54" t="inlineStr">
        <is>
          <t>DEV</t>
        </is>
      </c>
      <c r="H54" t="inlineStr">
        <is>
          <t>Fulfilled</t>
        </is>
      </c>
      <c r="I54" t="inlineStr">
        <is>
          <t>DEV</t>
        </is>
      </c>
      <c r="J54" t="n">
        <v>4</v>
      </c>
      <c r="K54" t="inlineStr">
        <is>
          <t>Fully Paid</t>
        </is>
      </c>
      <c r="L54" t="inlineStr">
        <is>
          <t>Primacy 5</t>
        </is>
      </c>
      <c r="M54" t="inlineStr">
        <is>
          <t>0917-826-5750</t>
        </is>
      </c>
      <c r="N54" t="inlineStr">
        <is>
          <t>8265750@gmail.com</t>
        </is>
      </c>
      <c r="O54" s="24" t="n">
        <v>38995.54</v>
      </c>
    </row>
    <row r="55">
      <c r="A55" t="inlineStr">
        <is>
          <t>After | Jul 15–Aug 31</t>
        </is>
      </c>
      <c r="B55" s="23" t="n">
        <v>46235</v>
      </c>
      <c r="C55" t="inlineStr">
        <is>
          <t>Aug 8, 2026, 1:00:00 PM</t>
        </is>
      </c>
      <c r="D55" t="inlineStr">
        <is>
          <t>37817</t>
        </is>
      </c>
      <c r="E55" t="inlineStr">
        <is>
          <t>JENELL MAE CHAVEZ</t>
        </is>
      </c>
      <c r="F55" t="inlineStr">
        <is>
          <t>MICHELIN 205/55/R17 PRIMACY 5 95W</t>
        </is>
      </c>
      <c r="G55" t="inlineStr">
        <is>
          <t>DEV</t>
        </is>
      </c>
      <c r="H55" t="inlineStr">
        <is>
          <t>Fulfilled</t>
        </is>
      </c>
      <c r="I55" t="inlineStr">
        <is>
          <t>DEV</t>
        </is>
      </c>
      <c r="J55" t="n">
        <v>4</v>
      </c>
      <c r="K55" t="inlineStr">
        <is>
          <t>Fully Paid</t>
        </is>
      </c>
      <c r="L55" t="inlineStr">
        <is>
          <t>Primacy 5</t>
        </is>
      </c>
      <c r="M55" t="inlineStr">
        <is>
          <t>09324061311</t>
        </is>
      </c>
      <c r="N55" t="inlineStr">
        <is>
          <t>jenellmae99@gmail.com</t>
        </is>
      </c>
      <c r="O55" s="24" t="n">
        <v>29209.82</v>
      </c>
    </row>
    <row r="56">
      <c r="A56" t="inlineStr">
        <is>
          <t>After | Jul 15–Aug 31</t>
        </is>
      </c>
      <c r="B56" s="23" t="n">
        <v>46234</v>
      </c>
      <c r="C56" t="inlineStr">
        <is>
          <t>Aug 8, 2026, 1:00:00 PM</t>
        </is>
      </c>
      <c r="D56" t="inlineStr">
        <is>
          <t>37775</t>
        </is>
      </c>
      <c r="E56" t="inlineStr">
        <is>
          <t>John Tadeja Jr</t>
        </is>
      </c>
      <c r="F56" t="inlineStr">
        <is>
          <t>MICHELIN 205/55/R17 PRIMACY 5 95W</t>
        </is>
      </c>
      <c r="G56" t="inlineStr">
        <is>
          <t>TAIRA</t>
        </is>
      </c>
      <c r="H56" t="inlineStr">
        <is>
          <t>Fulfilled</t>
        </is>
      </c>
      <c r="I56" t="inlineStr">
        <is>
          <t>SARAH MAE MANANSALA</t>
        </is>
      </c>
      <c r="J56" t="n">
        <v>4</v>
      </c>
      <c r="K56" t="inlineStr">
        <is>
          <t>Fully Paid</t>
        </is>
      </c>
      <c r="L56" t="inlineStr">
        <is>
          <t>Primacy 5</t>
        </is>
      </c>
      <c r="M56" t="inlineStr">
        <is>
          <t>0947-009-2897</t>
        </is>
      </c>
      <c r="N56" t="inlineStr">
        <is>
          <t>johntadeja@gmail.com</t>
        </is>
      </c>
      <c r="O56" s="24" t="n">
        <v>29745.54</v>
      </c>
    </row>
    <row r="57">
      <c r="A57" t="inlineStr">
        <is>
          <t>After | Jul 15–Aug 31</t>
        </is>
      </c>
      <c r="B57" s="23" t="n">
        <v>46239</v>
      </c>
      <c r="C57" t="inlineStr">
        <is>
          <t>Aug 8, 2026, 10:00:00 AM</t>
        </is>
      </c>
      <c r="D57" t="inlineStr">
        <is>
          <t>37943</t>
        </is>
      </c>
      <c r="E57" t="inlineStr">
        <is>
          <t xml:space="preserve">Francis Roque </t>
        </is>
      </c>
      <c r="F57" t="inlineStr">
        <is>
          <t>MICHELIN 275/45/R21 LATITUDE SPORT 3 107Y</t>
        </is>
      </c>
      <c r="G57" t="inlineStr">
        <is>
          <t>DEV</t>
        </is>
      </c>
      <c r="H57" t="inlineStr">
        <is>
          <t>Fulfilled</t>
        </is>
      </c>
      <c r="I57" t="inlineStr">
        <is>
          <t>DEV</t>
        </is>
      </c>
      <c r="J57" t="n">
        <v>8</v>
      </c>
      <c r="K57" t="inlineStr">
        <is>
          <t>Fully Paid</t>
        </is>
      </c>
      <c r="L57" t="inlineStr">
        <is>
          <t>Latitude Sport 3</t>
        </is>
      </c>
      <c r="M57" t="inlineStr">
        <is>
          <t>09173243750</t>
        </is>
      </c>
      <c r="N57" t="inlineStr">
        <is>
          <t>francismroque@gmail.com</t>
        </is>
      </c>
      <c r="O57" s="24" t="n">
        <v>140178.57</v>
      </c>
    </row>
    <row r="58">
      <c r="A58" t="inlineStr">
        <is>
          <t>After | Jul 15–Aug 31</t>
        </is>
      </c>
      <c r="B58" s="23" t="n">
        <v>46234</v>
      </c>
      <c r="C58" t="inlineStr">
        <is>
          <t>Aug 7, 2026, 9:00:00 AM</t>
        </is>
      </c>
      <c r="D58" t="inlineStr">
        <is>
          <t>37808</t>
        </is>
      </c>
      <c r="E58" t="inlineStr">
        <is>
          <t>Froilan Pagador</t>
        </is>
      </c>
      <c r="F58" t="inlineStr">
        <is>
          <t>MICHELIN 245/40/ZR18 PILOT SPORT 5 97Y XL TL</t>
        </is>
      </c>
      <c r="G58" t="inlineStr">
        <is>
          <t>DEV</t>
        </is>
      </c>
      <c r="H58" t="inlineStr">
        <is>
          <t>Fulfilled</t>
        </is>
      </c>
      <c r="I58" t="inlineStr">
        <is>
          <t>DEV</t>
        </is>
      </c>
      <c r="J58" t="n">
        <v>4</v>
      </c>
      <c r="K58" t="inlineStr">
        <is>
          <t>Fully Paid</t>
        </is>
      </c>
      <c r="L58" t="inlineStr">
        <is>
          <t>Pilot Sport 5</t>
        </is>
      </c>
      <c r="M58" t="inlineStr">
        <is>
          <t>09175503008</t>
        </is>
      </c>
      <c r="N58" t="inlineStr">
        <is>
          <t>froireen1973@gmail.com</t>
        </is>
      </c>
      <c r="O58" s="24" t="n">
        <v>39508.93</v>
      </c>
    </row>
    <row r="59">
      <c r="A59" t="inlineStr">
        <is>
          <t>After | Jul 15–Aug 31</t>
        </is>
      </c>
      <c r="B59" s="23" t="n">
        <v>46234</v>
      </c>
      <c r="C59" t="inlineStr">
        <is>
          <t>Aug 7, 2026, 8:30:00 AM</t>
        </is>
      </c>
      <c r="D59" t="inlineStr">
        <is>
          <t>37785</t>
        </is>
      </c>
      <c r="E59" t="inlineStr">
        <is>
          <t>Martin louis Reyes</t>
        </is>
      </c>
      <c r="F59" t="inlineStr">
        <is>
          <t>MICHELIN 235/50/R19 PRIMACY 5 103W</t>
        </is>
      </c>
      <c r="G59" t="inlineStr">
        <is>
          <t>DEV</t>
        </is>
      </c>
      <c r="H59" t="inlineStr">
        <is>
          <t>Fulfilled</t>
        </is>
      </c>
      <c r="I59" t="inlineStr">
        <is>
          <t>DEV</t>
        </is>
      </c>
      <c r="J59" t="n">
        <v>4</v>
      </c>
      <c r="K59" t="inlineStr">
        <is>
          <t>Fully Paid</t>
        </is>
      </c>
      <c r="L59" t="inlineStr">
        <is>
          <t>Primacy 5</t>
        </is>
      </c>
      <c r="M59" t="inlineStr">
        <is>
          <t>09695173565</t>
        </is>
      </c>
      <c r="N59" t="inlineStr">
        <is>
          <t>martinlouis.reyes@gmail.com</t>
        </is>
      </c>
      <c r="O59" s="24" t="n">
        <v>43794.64</v>
      </c>
    </row>
    <row r="60">
      <c r="A60" t="inlineStr">
        <is>
          <t>After | Jul 15–Aug 31</t>
        </is>
      </c>
      <c r="B60" s="23" t="n">
        <v>46237</v>
      </c>
      <c r="C60" t="inlineStr">
        <is>
          <t>Aug 6, 2026, 3:00:00 PM</t>
        </is>
      </c>
      <c r="D60" t="inlineStr">
        <is>
          <t>37867</t>
        </is>
      </c>
      <c r="E60" t="inlineStr">
        <is>
          <t>REYNALDO LAINEZ</t>
        </is>
      </c>
      <c r="F60" t="inlineStr">
        <is>
          <t>MICHELIN 205/65/R16 PRIMACY 5 95W</t>
        </is>
      </c>
      <c r="G60" t="inlineStr">
        <is>
          <t>ROLYN ANG</t>
        </is>
      </c>
      <c r="H60" t="inlineStr">
        <is>
          <t>Fulfilled</t>
        </is>
      </c>
      <c r="I60" t="inlineStr">
        <is>
          <t>ROLYN ANG</t>
        </is>
      </c>
      <c r="J60" t="n">
        <v>4</v>
      </c>
      <c r="K60" t="inlineStr">
        <is>
          <t>Fully Paid</t>
        </is>
      </c>
      <c r="L60" t="inlineStr">
        <is>
          <t>Primacy 5</t>
        </is>
      </c>
      <c r="M60" t="inlineStr">
        <is>
          <t>0945-452-0467</t>
        </is>
      </c>
      <c r="N60" t="inlineStr">
        <is>
          <t>Reylainez73@gmail.com</t>
        </is>
      </c>
      <c r="O60" s="24" t="n">
        <v>23812.5</v>
      </c>
    </row>
    <row r="61">
      <c r="A61" t="inlineStr">
        <is>
          <t>After | Jul 15–Aug 31</t>
        </is>
      </c>
      <c r="B61" s="23" t="n">
        <v>46235</v>
      </c>
      <c r="C61" t="inlineStr">
        <is>
          <t>Aug 4, 2026, 9:00:00 AM</t>
        </is>
      </c>
      <c r="D61" t="inlineStr">
        <is>
          <t>37813</t>
        </is>
      </c>
      <c r="E61" t="inlineStr">
        <is>
          <t>MICHAEL LIRIO</t>
        </is>
      </c>
      <c r="F61" t="inlineStr">
        <is>
          <t>MICHELIN 235/45/R18 PRIMACY 5 98Y</t>
        </is>
      </c>
      <c r="G61" t="inlineStr">
        <is>
          <t>SARAH MAE MANANSALA</t>
        </is>
      </c>
      <c r="H61" t="inlineStr">
        <is>
          <t>Fulfilled</t>
        </is>
      </c>
      <c r="I61" t="inlineStr">
        <is>
          <t>SARAH MAE MANANSALA</t>
        </is>
      </c>
      <c r="J61" t="n">
        <v>4</v>
      </c>
      <c r="K61" t="inlineStr">
        <is>
          <t>Fully Paid</t>
        </is>
      </c>
      <c r="L61" t="inlineStr">
        <is>
          <t>Primacy 5</t>
        </is>
      </c>
      <c r="M61" t="inlineStr">
        <is>
          <t>0917-639-2427</t>
        </is>
      </c>
      <c r="N61" t="inlineStr">
        <is>
          <t>melirio.cpa@gmail.com</t>
        </is>
      </c>
      <c r="O61" s="24" t="n">
        <v>36607.14</v>
      </c>
    </row>
    <row r="62">
      <c r="A62" t="inlineStr">
        <is>
          <t>After | Jul 15–Aug 31</t>
        </is>
      </c>
      <c r="B62" s="23" t="n">
        <v>46233</v>
      </c>
      <c r="C62" t="inlineStr">
        <is>
          <t>Aug 3, 2026, 2:00:00 PM</t>
        </is>
      </c>
      <c r="D62" t="inlineStr">
        <is>
          <t>37754</t>
        </is>
      </c>
      <c r="E62" t="inlineStr">
        <is>
          <t>Aldrich Adiong</t>
        </is>
      </c>
      <c r="F62" t="inlineStr">
        <is>
          <t>MICHELIN 225/45/R17 PRIMACY 5 94W XL</t>
        </is>
      </c>
      <c r="G62" t="inlineStr">
        <is>
          <t>DEV</t>
        </is>
      </c>
      <c r="H62" t="inlineStr">
        <is>
          <t>Fulfilled</t>
        </is>
      </c>
      <c r="I62" t="inlineStr">
        <is>
          <t>DEV</t>
        </is>
      </c>
      <c r="J62" t="n">
        <v>4</v>
      </c>
      <c r="K62" t="inlineStr">
        <is>
          <t>Fully Paid</t>
        </is>
      </c>
      <c r="L62" t="inlineStr">
        <is>
          <t>Primacy 5</t>
        </is>
      </c>
      <c r="M62" t="inlineStr">
        <is>
          <t>0917-533-9091</t>
        </is>
      </c>
      <c r="N62" t="inlineStr">
        <is>
          <t>aldrichdanepadiong@gmail.com</t>
        </is>
      </c>
      <c r="O62" s="24" t="n">
        <v>31017.86</v>
      </c>
    </row>
    <row r="63">
      <c r="A63" t="inlineStr">
        <is>
          <t>After | Jul 15–Aug 31</t>
        </is>
      </c>
      <c r="B63" s="23" t="n">
        <v>46235</v>
      </c>
      <c r="C63" t="inlineStr">
        <is>
          <t>Aug 3, 2026, 9:00:00 AM</t>
        </is>
      </c>
      <c r="D63" t="inlineStr">
        <is>
          <t>37809</t>
        </is>
      </c>
      <c r="E63" t="inlineStr">
        <is>
          <t>Marlon Panghulan</t>
        </is>
      </c>
      <c r="F63" t="inlineStr">
        <is>
          <t>MICHELIN 235/55/R18 PRIMACY 5 104W</t>
        </is>
      </c>
      <c r="G63" t="inlineStr">
        <is>
          <t>DEV</t>
        </is>
      </c>
      <c r="H63" t="inlineStr">
        <is>
          <t>Fulfilled</t>
        </is>
      </c>
      <c r="I63" t="inlineStr">
        <is>
          <t>DEV</t>
        </is>
      </c>
      <c r="J63" t="n">
        <v>4</v>
      </c>
      <c r="K63" t="inlineStr">
        <is>
          <t>Fully Paid</t>
        </is>
      </c>
      <c r="L63" t="inlineStr">
        <is>
          <t>Primacy 5</t>
        </is>
      </c>
      <c r="M63" t="inlineStr">
        <is>
          <t>09175989330</t>
        </is>
      </c>
      <c r="N63" t="inlineStr">
        <is>
          <t>lhon1176@gmail.com</t>
        </is>
      </c>
      <c r="O63" s="24" t="n">
        <v>35816.96</v>
      </c>
    </row>
    <row r="64">
      <c r="A64" t="inlineStr">
        <is>
          <t>After | Jul 15–Aug 31</t>
        </is>
      </c>
      <c r="B64" s="23" t="n">
        <v>46234</v>
      </c>
      <c r="C64" t="inlineStr">
        <is>
          <t>Aug 3, 2026, 9:00:00 AM</t>
        </is>
      </c>
      <c r="D64" t="inlineStr">
        <is>
          <t>37777</t>
        </is>
      </c>
      <c r="E64" t="inlineStr">
        <is>
          <t>Mark Simbiling</t>
        </is>
      </c>
      <c r="F64" t="inlineStr">
        <is>
          <t>MICHELIN 215/65/R16 PRIMACY 5 102V XL</t>
        </is>
      </c>
      <c r="G64" t="inlineStr">
        <is>
          <t>AIRA</t>
        </is>
      </c>
      <c r="H64" t="inlineStr">
        <is>
          <t>Fulfilled</t>
        </is>
      </c>
      <c r="I64" t="inlineStr">
        <is>
          <t>AIRA</t>
        </is>
      </c>
      <c r="J64" t="n">
        <v>4</v>
      </c>
      <c r="K64" t="inlineStr">
        <is>
          <t>Fully Paid</t>
        </is>
      </c>
      <c r="L64" t="inlineStr">
        <is>
          <t>Primacy 5</t>
        </is>
      </c>
      <c r="M64" t="inlineStr">
        <is>
          <t>0936-206-3331</t>
        </is>
      </c>
      <c r="N64" t="inlineStr">
        <is>
          <t>mc.simbiling@gmail.com</t>
        </is>
      </c>
      <c r="O64" s="24" t="n">
        <v>26339.29</v>
      </c>
    </row>
    <row r="65">
      <c r="A65" t="inlineStr">
        <is>
          <t>After | Jul 15–Aug 31</t>
        </is>
      </c>
      <c r="B65" s="23" t="n">
        <v>46230</v>
      </c>
      <c r="C65" t="inlineStr">
        <is>
          <t>Aug 1, 2026, 1:00:00 PM</t>
        </is>
      </c>
      <c r="D65" t="inlineStr">
        <is>
          <t>37617</t>
        </is>
      </c>
      <c r="E65" t="inlineStr">
        <is>
          <t>Marianne Gatlabayan</t>
        </is>
      </c>
      <c r="F65" t="inlineStr">
        <is>
          <t>MICHELIN 195/60/R16 PRIMACY 5 93V</t>
        </is>
      </c>
      <c r="G65" t="inlineStr">
        <is>
          <t>DEV</t>
        </is>
      </c>
      <c r="H65" t="inlineStr">
        <is>
          <t>Fulfilled</t>
        </is>
      </c>
      <c r="I65" t="inlineStr">
        <is>
          <t>DEV</t>
        </is>
      </c>
      <c r="J65" t="n">
        <v>4</v>
      </c>
      <c r="K65" t="inlineStr">
        <is>
          <t>Fully Paid</t>
        </is>
      </c>
      <c r="L65" t="inlineStr">
        <is>
          <t>Primacy 5</t>
        </is>
      </c>
      <c r="M65" t="inlineStr">
        <is>
          <t>09087406570</t>
        </is>
      </c>
      <c r="N65" t="inlineStr">
        <is>
          <t>mar1ann8@duck.com</t>
        </is>
      </c>
      <c r="O65" s="24" t="n">
        <v>25714.29</v>
      </c>
    </row>
    <row r="66">
      <c r="A66" t="inlineStr">
        <is>
          <t>After | Jul 15–Aug 31</t>
        </is>
      </c>
      <c r="B66" s="23" t="n">
        <v>46227</v>
      </c>
      <c r="C66" t="inlineStr">
        <is>
          <t>Aug 1, 2026, 9:00:00 AM</t>
        </is>
      </c>
      <c r="D66" t="inlineStr">
        <is>
          <t>37494</t>
        </is>
      </c>
      <c r="E66" t="inlineStr">
        <is>
          <t>Audric Dane Austria</t>
        </is>
      </c>
      <c r="F66" t="inlineStr">
        <is>
          <t>MICHELIN 215/55/R17 PRIMACY 5 94V</t>
        </is>
      </c>
      <c r="G66" t="inlineStr">
        <is>
          <t>DEV</t>
        </is>
      </c>
      <c r="H66" t="inlineStr">
        <is>
          <t>Fulfilled</t>
        </is>
      </c>
      <c r="I66" t="inlineStr">
        <is>
          <t>DEV</t>
        </is>
      </c>
      <c r="J66" t="n">
        <v>4</v>
      </c>
      <c r="K66" t="inlineStr">
        <is>
          <t>Fully Paid</t>
        </is>
      </c>
      <c r="L66" t="inlineStr">
        <is>
          <t>Primacy 5</t>
        </is>
      </c>
      <c r="M66" t="inlineStr">
        <is>
          <t>09151267775</t>
        </is>
      </c>
      <c r="N66" t="inlineStr">
        <is>
          <t>audricdane@gmail.com</t>
        </is>
      </c>
      <c r="O66" s="24" t="n">
        <v>30995.54</v>
      </c>
    </row>
    <row r="67">
      <c r="A67" t="inlineStr">
        <is>
          <t>After | Jul 15–Aug 31</t>
        </is>
      </c>
      <c r="B67" s="23" t="n">
        <v>46233</v>
      </c>
      <c r="C67" t="inlineStr">
        <is>
          <t>Jul 31, 2026, 10:00:00 AM</t>
        </is>
      </c>
      <c r="D67" t="inlineStr">
        <is>
          <t>37744</t>
        </is>
      </c>
      <c r="E67" t="inlineStr">
        <is>
          <t>Amador Y. Abasa</t>
        </is>
      </c>
      <c r="F67" t="inlineStr">
        <is>
          <t>MICHELIN 235/50/R19 PRIMACY 5 103W</t>
        </is>
      </c>
      <c r="G67" t="inlineStr">
        <is>
          <t>ROLYN ANG</t>
        </is>
      </c>
      <c r="H67" t="inlineStr">
        <is>
          <t>Fulfilled</t>
        </is>
      </c>
      <c r="I67" t="inlineStr">
        <is>
          <t>ROLYN ANG</t>
        </is>
      </c>
      <c r="J67" t="n">
        <v>4</v>
      </c>
      <c r="K67" t="inlineStr">
        <is>
          <t>Fully Paid</t>
        </is>
      </c>
      <c r="L67" t="inlineStr">
        <is>
          <t>Primacy 5</t>
        </is>
      </c>
      <c r="M67" t="inlineStr">
        <is>
          <t>0939-573-5435</t>
        </is>
      </c>
      <c r="N67" t="inlineStr">
        <is>
          <t>ayabasa@dpciphil.com</t>
        </is>
      </c>
      <c r="O67" s="24" t="n">
        <v>44330.36</v>
      </c>
    </row>
    <row r="68">
      <c r="A68" t="inlineStr">
        <is>
          <t>After | Jul 15–Aug 31</t>
        </is>
      </c>
      <c r="B68" s="23" t="n">
        <v>46232</v>
      </c>
      <c r="C68" t="inlineStr">
        <is>
          <t>Jul 31, 2026, 9:00:00 AM</t>
        </is>
      </c>
      <c r="D68" t="inlineStr">
        <is>
          <t>37680</t>
        </is>
      </c>
      <c r="E68" t="inlineStr">
        <is>
          <t>Joshua Danielle Diaz</t>
        </is>
      </c>
      <c r="F68" t="inlineStr">
        <is>
          <t>MICHELIN 235/45/R18 PRIMACY 5 98Y</t>
        </is>
      </c>
      <c r="G68" t="inlineStr">
        <is>
          <t>DEV</t>
        </is>
      </c>
      <c r="H68" t="inlineStr">
        <is>
          <t>Fulfilled</t>
        </is>
      </c>
      <c r="I68" t="inlineStr">
        <is>
          <t>DEV</t>
        </is>
      </c>
      <c r="J68" t="n">
        <v>4</v>
      </c>
      <c r="K68" t="inlineStr">
        <is>
          <t>Fully Paid</t>
        </is>
      </c>
      <c r="L68" t="inlineStr">
        <is>
          <t>Primacy 5</t>
        </is>
      </c>
      <c r="M68" t="inlineStr">
        <is>
          <t>09175299979</t>
        </is>
      </c>
      <c r="N68" t="inlineStr">
        <is>
          <t>joshuadaniellediaz@gmail.com</t>
        </is>
      </c>
      <c r="O68" s="24" t="n">
        <v>36616.07</v>
      </c>
    </row>
    <row r="69">
      <c r="A69" t="inlineStr">
        <is>
          <t>After | Jul 15–Aug 31</t>
        </is>
      </c>
      <c r="B69" s="23" t="n">
        <v>46231</v>
      </c>
      <c r="C69" t="inlineStr">
        <is>
          <t>Jul 31, 2026, 9:00:00 AM</t>
        </is>
      </c>
      <c r="D69" t="inlineStr">
        <is>
          <t>37647</t>
        </is>
      </c>
      <c r="E69" t="inlineStr">
        <is>
          <t>Ethan Ng</t>
        </is>
      </c>
      <c r="F69" t="inlineStr">
        <is>
          <t>MICHELIN 225/55/R18 PRIMACY 5 102V</t>
        </is>
      </c>
      <c r="G69" t="inlineStr">
        <is>
          <t>DEV</t>
        </is>
      </c>
      <c r="H69" t="inlineStr">
        <is>
          <t>Fulfilled</t>
        </is>
      </c>
      <c r="I69" t="inlineStr">
        <is>
          <t>DEV</t>
        </is>
      </c>
      <c r="J69" t="n">
        <v>4</v>
      </c>
      <c r="K69" t="inlineStr">
        <is>
          <t>Fully Paid</t>
        </is>
      </c>
      <c r="L69" t="inlineStr">
        <is>
          <t>Primacy 5</t>
        </is>
      </c>
      <c r="M69" t="inlineStr">
        <is>
          <t>09989973609</t>
        </is>
      </c>
      <c r="N69" t="inlineStr">
        <is>
          <t>earnng19@gmail.com</t>
        </is>
      </c>
      <c r="O69" s="24" t="n">
        <v>35799.11</v>
      </c>
    </row>
    <row r="70">
      <c r="A70" t="inlineStr">
        <is>
          <t>After | Jul 15–Aug 31</t>
        </is>
      </c>
      <c r="B70" s="23" t="n">
        <v>46230</v>
      </c>
      <c r="C70" t="inlineStr">
        <is>
          <t>Jul 28, 2026, 3:00:00 PM</t>
        </is>
      </c>
      <c r="D70" t="inlineStr">
        <is>
          <t>37626</t>
        </is>
      </c>
      <c r="E70" t="inlineStr">
        <is>
          <t>Tim Viado</t>
        </is>
      </c>
      <c r="F70" t="inlineStr">
        <is>
          <t>MICHELIN 205/65/R16 PRIMACY 5 95W</t>
        </is>
      </c>
      <c r="G70" t="inlineStr">
        <is>
          <t>TAIRA</t>
        </is>
      </c>
      <c r="H70" t="inlineStr">
        <is>
          <t>Fulfilled</t>
        </is>
      </c>
      <c r="I70" t="inlineStr">
        <is>
          <t>SARAH MAE MANANSALA</t>
        </is>
      </c>
      <c r="J70" t="n">
        <v>4</v>
      </c>
      <c r="K70" t="inlineStr">
        <is>
          <t>Fully Paid</t>
        </is>
      </c>
      <c r="L70" t="inlineStr">
        <is>
          <t>Primacy 5</t>
        </is>
      </c>
      <c r="M70" t="inlineStr">
        <is>
          <t>0998-950-1673</t>
        </is>
      </c>
      <c r="N70" t="inlineStr">
        <is>
          <t>timviado040585@gmail.com</t>
        </is>
      </c>
      <c r="O70" s="24" t="n">
        <v>21133.93</v>
      </c>
    </row>
    <row r="71">
      <c r="A71" t="inlineStr">
        <is>
          <t>After | Jul 15–Aug 31</t>
        </is>
      </c>
      <c r="B71" s="23" t="n">
        <v>46226</v>
      </c>
      <c r="C71" t="inlineStr">
        <is>
          <t>Jul 28, 2026, 9:00:00 AM</t>
        </is>
      </c>
      <c r="D71" t="inlineStr">
        <is>
          <t>37475</t>
        </is>
      </c>
      <c r="E71" t="inlineStr">
        <is>
          <t>Iggy Bermudez</t>
        </is>
      </c>
      <c r="F71" t="inlineStr">
        <is>
          <t>MICHELIN 205/55/R16 PRIMACY 5 91W</t>
        </is>
      </c>
      <c r="G71" t="inlineStr">
        <is>
          <t>DEV</t>
        </is>
      </c>
      <c r="H71" t="inlineStr">
        <is>
          <t>Fulfilled</t>
        </is>
      </c>
      <c r="I71" t="inlineStr">
        <is>
          <t>DEV</t>
        </is>
      </c>
      <c r="J71" t="n">
        <v>4</v>
      </c>
      <c r="K71" t="inlineStr">
        <is>
          <t>Fully Paid</t>
        </is>
      </c>
      <c r="L71" t="inlineStr">
        <is>
          <t>Primacy 5</t>
        </is>
      </c>
      <c r="M71" t="inlineStr">
        <is>
          <t>09196333535</t>
        </is>
      </c>
      <c r="N71" t="inlineStr">
        <is>
          <t>gregorybermudez69@gmail.com</t>
        </is>
      </c>
      <c r="O71" s="24" t="n">
        <v>21857.14</v>
      </c>
    </row>
    <row r="72">
      <c r="A72" t="inlineStr">
        <is>
          <t>After | Jul 15–Aug 31</t>
        </is>
      </c>
      <c r="B72" s="23" t="n">
        <v>46228</v>
      </c>
      <c r="C72" t="inlineStr">
        <is>
          <t>Jul 28, 2026, 9:00:00 AM</t>
        </is>
      </c>
      <c r="D72" t="inlineStr">
        <is>
          <t>37528</t>
        </is>
      </c>
      <c r="E72" t="inlineStr">
        <is>
          <t>Mark Anthony Bautista</t>
        </is>
      </c>
      <c r="F72" t="inlineStr">
        <is>
          <t>MICHELIN 205/50/R17 PRIMACY 5 93W</t>
        </is>
      </c>
      <c r="G72" t="inlineStr">
        <is>
          <t>DEV</t>
        </is>
      </c>
      <c r="H72" t="inlineStr">
        <is>
          <t>Fulfilled</t>
        </is>
      </c>
      <c r="I72" t="inlineStr">
        <is>
          <t>DEV</t>
        </is>
      </c>
      <c r="J72" t="n">
        <v>4</v>
      </c>
      <c r="K72" t="inlineStr">
        <is>
          <t>Fully Paid</t>
        </is>
      </c>
      <c r="L72" t="inlineStr">
        <is>
          <t>Primacy 5</t>
        </is>
      </c>
      <c r="M72" t="inlineStr">
        <is>
          <t>09490311496</t>
        </is>
      </c>
      <c r="N72" t="inlineStr">
        <is>
          <t>cyrusbautista008@gmail.com</t>
        </is>
      </c>
      <c r="O72" s="24" t="n">
        <v>27165.18</v>
      </c>
    </row>
    <row r="73">
      <c r="A73" t="inlineStr">
        <is>
          <t>After | Jul 15–Aug 31</t>
        </is>
      </c>
      <c r="B73" s="23" t="n">
        <v>46226</v>
      </c>
      <c r="C73" t="inlineStr">
        <is>
          <t>Jul 27, 2026, 3:00:00 PM</t>
        </is>
      </c>
      <c r="D73" t="inlineStr">
        <is>
          <t>37474</t>
        </is>
      </c>
      <c r="E73" t="inlineStr">
        <is>
          <t>Michael Ocampo</t>
        </is>
      </c>
      <c r="F73" t="inlineStr">
        <is>
          <t>MICHELIN 205/65/R16 PRIMACY 5 95W</t>
        </is>
      </c>
      <c r="G73" t="inlineStr">
        <is>
          <t>ROLYN ANG</t>
        </is>
      </c>
      <c r="H73" t="inlineStr">
        <is>
          <t>Fulfilled</t>
        </is>
      </c>
      <c r="I73" t="inlineStr">
        <is>
          <t>ROLYN ANG</t>
        </is>
      </c>
      <c r="J73" t="n">
        <v>4</v>
      </c>
      <c r="K73" t="inlineStr">
        <is>
          <t>Fully Paid</t>
        </is>
      </c>
      <c r="L73" t="inlineStr">
        <is>
          <t>Primacy 5</t>
        </is>
      </c>
      <c r="M73" t="inlineStr">
        <is>
          <t>0961-291-2330</t>
        </is>
      </c>
      <c r="N73" t="inlineStr">
        <is>
          <t>miguel032313@gmail.com</t>
        </is>
      </c>
      <c r="O73" s="24" t="n">
        <v>21133.93</v>
      </c>
    </row>
    <row r="74">
      <c r="A74" t="inlineStr">
        <is>
          <t>After | Jul 15–Aug 31</t>
        </is>
      </c>
      <c r="B74" s="23" t="n">
        <v>46229</v>
      </c>
      <c r="C74" t="inlineStr">
        <is>
          <t>Jul 27, 2026, 3:00:00 PM</t>
        </is>
      </c>
      <c r="D74" t="inlineStr">
        <is>
          <t>37576</t>
        </is>
      </c>
      <c r="E74" t="inlineStr">
        <is>
          <t>Ed Andrew Ferrer</t>
        </is>
      </c>
      <c r="F74" t="inlineStr">
        <is>
          <t>MICHELIN 195/60/R16 PRIMACY 5 93V</t>
        </is>
      </c>
      <c r="G74" t="inlineStr">
        <is>
          <t>SARAH MAE MANANSALA</t>
        </is>
      </c>
      <c r="H74" t="inlineStr">
        <is>
          <t>Fulfilled</t>
        </is>
      </c>
      <c r="I74" t="inlineStr">
        <is>
          <t>SARAH MAE MANANSALA</t>
        </is>
      </c>
      <c r="J74" t="n">
        <v>4</v>
      </c>
      <c r="K74" t="inlineStr">
        <is>
          <t>Fully Paid</t>
        </is>
      </c>
      <c r="L74" t="inlineStr">
        <is>
          <t>Primacy 5</t>
        </is>
      </c>
      <c r="M74" t="inlineStr">
        <is>
          <t>09462021092</t>
        </is>
      </c>
      <c r="N74" t="inlineStr">
        <is>
          <t>edandrewferrer024@gmail.com</t>
        </is>
      </c>
      <c r="O74" s="24" t="n">
        <v>25446.43</v>
      </c>
    </row>
    <row r="75">
      <c r="A75" t="inlineStr">
        <is>
          <t>After | Jul 15–Aug 31</t>
        </is>
      </c>
      <c r="B75" s="23" t="n">
        <v>46228</v>
      </c>
      <c r="C75" t="inlineStr">
        <is>
          <t>Jul 27, 2026, 3:00:00 PM</t>
        </is>
      </c>
      <c r="D75" t="inlineStr">
        <is>
          <t>37533</t>
        </is>
      </c>
      <c r="E75" t="inlineStr">
        <is>
          <t>ronnie fernandez</t>
        </is>
      </c>
      <c r="F75" t="inlineStr">
        <is>
          <t>MICHELIN 245/45/R17 PRIMACY 5 99Y</t>
        </is>
      </c>
      <c r="G75" t="inlineStr">
        <is>
          <t>AIRA</t>
        </is>
      </c>
      <c r="H75" t="inlineStr">
        <is>
          <t>Fulfilled</t>
        </is>
      </c>
      <c r="I75" t="inlineStr">
        <is>
          <t>AIRA</t>
        </is>
      </c>
      <c r="J75" t="n">
        <v>4</v>
      </c>
      <c r="K75" t="inlineStr">
        <is>
          <t>Fully Paid</t>
        </is>
      </c>
      <c r="L75" t="inlineStr">
        <is>
          <t>Primacy 5</t>
        </is>
      </c>
      <c r="M75" t="inlineStr">
        <is>
          <t>0920-912-2730</t>
        </is>
      </c>
      <c r="N75" t="inlineStr">
        <is>
          <t>-@gmail.com</t>
        </is>
      </c>
      <c r="O75" s="24" t="n">
        <v>35714.29</v>
      </c>
    </row>
    <row r="76">
      <c r="A76" t="inlineStr">
        <is>
          <t>After | Jul 15–Aug 31</t>
        </is>
      </c>
      <c r="B76" s="23" t="n">
        <v>46228</v>
      </c>
      <c r="C76" t="inlineStr">
        <is>
          <t>Jul 27, 2026, 3:00:00 PM</t>
        </is>
      </c>
      <c r="D76" t="inlineStr">
        <is>
          <t>37526</t>
        </is>
      </c>
      <c r="E76" t="inlineStr">
        <is>
          <t>Joshua Gabriel L Benitez</t>
        </is>
      </c>
      <c r="F76" t="inlineStr">
        <is>
          <t>MICHELIN 225/45/ZR18 PILOT SPORT 5 95Y XL TL</t>
        </is>
      </c>
      <c r="G76" t="inlineStr">
        <is>
          <t>DEV</t>
        </is>
      </c>
      <c r="H76" t="inlineStr">
        <is>
          <t>Fulfilled</t>
        </is>
      </c>
      <c r="I76" t="inlineStr">
        <is>
          <t>DEV</t>
        </is>
      </c>
      <c r="J76" t="n">
        <v>4</v>
      </c>
      <c r="K76" t="inlineStr">
        <is>
          <t>Fully Paid</t>
        </is>
      </c>
      <c r="L76" t="inlineStr">
        <is>
          <t>Pilot Sport 5</t>
        </is>
      </c>
      <c r="M76" t="inlineStr">
        <is>
          <t>0995-448-4752</t>
        </is>
      </c>
      <c r="N76" t="inlineStr">
        <is>
          <t>benitezjoshua01@gmail.com</t>
        </is>
      </c>
      <c r="O76" s="24" t="n">
        <v>40044.64</v>
      </c>
    </row>
    <row r="77">
      <c r="A77" t="inlineStr">
        <is>
          <t>After | Jul 15–Aug 31</t>
        </is>
      </c>
      <c r="B77" s="23" t="n">
        <v>46227</v>
      </c>
      <c r="C77" t="inlineStr">
        <is>
          <t>Jul 27, 2026, 12:00:00 PM</t>
        </is>
      </c>
      <c r="D77" t="inlineStr">
        <is>
          <t>37484</t>
        </is>
      </c>
      <c r="E77" t="inlineStr">
        <is>
          <t>Paulo Chua</t>
        </is>
      </c>
      <c r="F77" t="inlineStr">
        <is>
          <t>MICHELIN 225/60/R17 PRIMACY 5 103V</t>
        </is>
      </c>
      <c r="G77" t="inlineStr">
        <is>
          <t>DEV</t>
        </is>
      </c>
      <c r="H77" t="inlineStr">
        <is>
          <t>Fulfilled</t>
        </is>
      </c>
      <c r="I77" t="inlineStr">
        <is>
          <t>DEV</t>
        </is>
      </c>
      <c r="J77" t="n">
        <v>4</v>
      </c>
      <c r="K77" t="inlineStr">
        <is>
          <t>Fully Paid</t>
        </is>
      </c>
      <c r="L77" t="inlineStr">
        <is>
          <t>Primacy 5</t>
        </is>
      </c>
      <c r="M77" t="inlineStr">
        <is>
          <t>09178317919</t>
        </is>
      </c>
      <c r="N77" t="inlineStr">
        <is>
          <t>paulo.chua@gmail.com</t>
        </is>
      </c>
      <c r="O77" s="24" t="n">
        <v>36964.29</v>
      </c>
    </row>
    <row r="78">
      <c r="A78" t="inlineStr">
        <is>
          <t>After | Jul 15–Aug 31</t>
        </is>
      </c>
      <c r="B78" s="23" t="n">
        <v>46226</v>
      </c>
      <c r="C78" t="inlineStr">
        <is>
          <t>Jul 27, 2026, 11:00:00 AM</t>
        </is>
      </c>
      <c r="D78" t="inlineStr">
        <is>
          <t>37478</t>
        </is>
      </c>
      <c r="E78" t="inlineStr">
        <is>
          <t>Joseph Oliva</t>
        </is>
      </c>
      <c r="F78" t="inlineStr">
        <is>
          <t>MICHELIN 205/55/R16 PRIMACY 5 91W</t>
        </is>
      </c>
      <c r="G78" t="inlineStr">
        <is>
          <t>DEV</t>
        </is>
      </c>
      <c r="H78" t="inlineStr">
        <is>
          <t>Fulfilled</t>
        </is>
      </c>
      <c r="I78" t="inlineStr">
        <is>
          <t>DEV</t>
        </is>
      </c>
      <c r="J78" t="n">
        <v>4</v>
      </c>
      <c r="K78" t="inlineStr">
        <is>
          <t>Fully Paid</t>
        </is>
      </c>
      <c r="L78" t="inlineStr">
        <is>
          <t>Primacy 5</t>
        </is>
      </c>
      <c r="M78" t="inlineStr">
        <is>
          <t>09055446615</t>
        </is>
      </c>
      <c r="N78" t="inlineStr">
        <is>
          <t>josepholiva08@gmail.com</t>
        </is>
      </c>
      <c r="O78" s="24" t="n">
        <v>21857.14</v>
      </c>
    </row>
    <row r="79">
      <c r="A79" t="inlineStr">
        <is>
          <t>After | Jul 15–Aug 31</t>
        </is>
      </c>
      <c r="B79" s="23" t="n">
        <v>46226</v>
      </c>
      <c r="C79" t="inlineStr">
        <is>
          <t>Jul 27, 2026, 9:00:00 AM</t>
        </is>
      </c>
      <c r="D79" t="inlineStr">
        <is>
          <t>37476</t>
        </is>
      </c>
      <c r="E79" t="inlineStr">
        <is>
          <t>Angel Engao</t>
        </is>
      </c>
      <c r="F79" t="inlineStr">
        <is>
          <t>MICHELIN 205/50/R17 PRIMACY 5 93W</t>
        </is>
      </c>
      <c r="G79" t="inlineStr">
        <is>
          <t>DEV</t>
        </is>
      </c>
      <c r="H79" t="inlineStr">
        <is>
          <t>Fulfilled</t>
        </is>
      </c>
      <c r="I79" t="inlineStr">
        <is>
          <t>DEV</t>
        </is>
      </c>
      <c r="J79" t="n">
        <v>4</v>
      </c>
      <c r="K79" t="inlineStr">
        <is>
          <t>Fully Paid</t>
        </is>
      </c>
      <c r="L79" t="inlineStr">
        <is>
          <t>Primacy 5</t>
        </is>
      </c>
      <c r="M79" t="inlineStr">
        <is>
          <t>09173084406</t>
        </is>
      </c>
      <c r="N79" t="inlineStr">
        <is>
          <t>angelengao@gmail.com</t>
        </is>
      </c>
      <c r="O79" s="24" t="n">
        <v>27388.39</v>
      </c>
    </row>
    <row r="80">
      <c r="A80" t="inlineStr">
        <is>
          <t>After | Jul 15–Aug 31</t>
        </is>
      </c>
      <c r="B80" s="23" t="n">
        <v>46225</v>
      </c>
      <c r="C80" t="inlineStr">
        <is>
          <t>Jul 27, 2026, 9:00:00 AM</t>
        </is>
      </c>
      <c r="D80" t="inlineStr">
        <is>
          <t>37439</t>
        </is>
      </c>
      <c r="E80" t="inlineStr">
        <is>
          <t>Froilan Ticman</t>
        </is>
      </c>
      <c r="F80" t="inlineStr">
        <is>
          <t>MICHELIN 225/55/R18 PRIMACY 5 102V</t>
        </is>
      </c>
      <c r="G80" t="inlineStr">
        <is>
          <t>DEV</t>
        </is>
      </c>
      <c r="H80" t="inlineStr">
        <is>
          <t>Fulfilled</t>
        </is>
      </c>
      <c r="I80" t="inlineStr">
        <is>
          <t>DEV</t>
        </is>
      </c>
      <c r="J80" t="n">
        <v>4</v>
      </c>
      <c r="K80" t="inlineStr">
        <is>
          <t>Fully Paid</t>
        </is>
      </c>
      <c r="L80" t="inlineStr">
        <is>
          <t>Primacy 5</t>
        </is>
      </c>
      <c r="M80" t="inlineStr">
        <is>
          <t>0917-558-7880</t>
        </is>
      </c>
      <c r="N80" t="inlineStr">
        <is>
          <t>faticman77@gmail.com</t>
        </is>
      </c>
      <c r="O80" s="24" t="n">
        <v>35799.11</v>
      </c>
    </row>
    <row r="81">
      <c r="A81" t="inlineStr">
        <is>
          <t>After | Jul 15–Aug 31</t>
        </is>
      </c>
      <c r="B81" s="23" t="n">
        <v>46226</v>
      </c>
      <c r="C81" t="inlineStr">
        <is>
          <t>Jul 26, 2026, 9:00:00 AM</t>
        </is>
      </c>
      <c r="D81" t="inlineStr">
        <is>
          <t>37477</t>
        </is>
      </c>
      <c r="E81" t="inlineStr">
        <is>
          <t>Noriel Zachary Apaya</t>
        </is>
      </c>
      <c r="F81" t="inlineStr">
        <is>
          <t>MICHELIN 225/60/R17 PRIMACY 5 103V</t>
        </is>
      </c>
      <c r="G81" t="inlineStr">
        <is>
          <t>DEV</t>
        </is>
      </c>
      <c r="H81" t="inlineStr">
        <is>
          <t>Fulfilled</t>
        </is>
      </c>
      <c r="I81" t="inlineStr">
        <is>
          <t>DEV</t>
        </is>
      </c>
      <c r="J81" t="n">
        <v>4</v>
      </c>
      <c r="K81" t="inlineStr">
        <is>
          <t>Fully Paid</t>
        </is>
      </c>
      <c r="L81" t="inlineStr">
        <is>
          <t>Primacy 5</t>
        </is>
      </c>
      <c r="M81" t="inlineStr">
        <is>
          <t>09178694449</t>
        </is>
      </c>
      <c r="N81" t="inlineStr">
        <is>
          <t>zachapaya@yahoo.com</t>
        </is>
      </c>
      <c r="O81" s="24" t="n">
        <v>36875</v>
      </c>
    </row>
    <row r="82">
      <c r="A82" t="inlineStr">
        <is>
          <t>After | Jul 15–Aug 31</t>
        </is>
      </c>
      <c r="B82" s="23" t="n">
        <v>46227</v>
      </c>
      <c r="C82" t="inlineStr">
        <is>
          <t>Jul 25, 2026, 3:00:00 PM</t>
        </is>
      </c>
      <c r="D82" t="inlineStr">
        <is>
          <t>37497</t>
        </is>
      </c>
      <c r="E82" t="inlineStr">
        <is>
          <t>Dialyn Tiemsim</t>
        </is>
      </c>
      <c r="F82" t="inlineStr">
        <is>
          <t>MICHELIN 205/55/R17 PRIMACY 5 95W</t>
        </is>
      </c>
      <c r="G82" t="inlineStr">
        <is>
          <t>DEV</t>
        </is>
      </c>
      <c r="H82" t="inlineStr">
        <is>
          <t>Fulfilled</t>
        </is>
      </c>
      <c r="I82" t="inlineStr">
        <is>
          <t>DEV</t>
        </is>
      </c>
      <c r="J82" t="n">
        <v>4</v>
      </c>
      <c r="K82" t="inlineStr">
        <is>
          <t>Fully Paid</t>
        </is>
      </c>
      <c r="L82" t="inlineStr">
        <is>
          <t>Primacy 5</t>
        </is>
      </c>
      <c r="M82" t="inlineStr">
        <is>
          <t>0917-599-0877</t>
        </is>
      </c>
      <c r="N82" t="inlineStr">
        <is>
          <t>dialyn.tiemsim@ph.nestle.com</t>
        </is>
      </c>
      <c r="O82" s="24" t="n">
        <v>29745.54</v>
      </c>
    </row>
    <row r="83">
      <c r="A83" t="inlineStr">
        <is>
          <t>After | Jul 15–Aug 31</t>
        </is>
      </c>
      <c r="B83" s="23" t="n">
        <v>46227</v>
      </c>
      <c r="C83" t="inlineStr">
        <is>
          <t>Jul 25, 2026, 2:00:00 PM</t>
        </is>
      </c>
      <c r="D83" t="inlineStr">
        <is>
          <t>37500</t>
        </is>
      </c>
      <c r="E83" t="inlineStr">
        <is>
          <t>Michael Velez</t>
        </is>
      </c>
      <c r="F83" t="inlineStr">
        <is>
          <t>MICHELIN 305/40/R20 PILOT SPORT 4 SUV 112Y</t>
        </is>
      </c>
      <c r="G83" t="inlineStr">
        <is>
          <t>SARAH MAE MANANSALA</t>
        </is>
      </c>
      <c r="H83" t="inlineStr">
        <is>
          <t>Fulfilled</t>
        </is>
      </c>
      <c r="I83" t="inlineStr">
        <is>
          <t>SARAH MAE MANANSALA</t>
        </is>
      </c>
      <c r="J83" t="n">
        <v>4</v>
      </c>
      <c r="K83" t="inlineStr">
        <is>
          <t>Fully Paid</t>
        </is>
      </c>
      <c r="L83" t="inlineStr">
        <is>
          <t>Pilot Sport 4 S</t>
        </is>
      </c>
      <c r="M83" t="inlineStr">
        <is>
          <t>0917-583-6210</t>
        </is>
      </c>
      <c r="N83" t="inlineStr">
        <is>
          <t>mike_v01@yahoo.com</t>
        </is>
      </c>
      <c r="O83" s="24" t="n">
        <v>85098.21000000001</v>
      </c>
    </row>
    <row r="84">
      <c r="A84" t="inlineStr">
        <is>
          <t>After | Jul 15–Aug 31</t>
        </is>
      </c>
      <c r="B84" s="23" t="n">
        <v>46226</v>
      </c>
      <c r="C84" t="inlineStr">
        <is>
          <t>Jul 25, 2026, 10:00:00 AM</t>
        </is>
      </c>
      <c r="D84" t="inlineStr">
        <is>
          <t>37471</t>
        </is>
      </c>
      <c r="E84" t="inlineStr">
        <is>
          <t>Maynilad Water Services, Inc.</t>
        </is>
      </c>
      <c r="F84" t="inlineStr">
        <is>
          <t>MICHELIN 205/55/R17 PRIMACY 5 95W</t>
        </is>
      </c>
      <c r="G84" t="inlineStr">
        <is>
          <t>DEV</t>
        </is>
      </c>
      <c r="H84" t="inlineStr">
        <is>
          <t>Fulfilled</t>
        </is>
      </c>
      <c r="I84" t="inlineStr">
        <is>
          <t>DEV</t>
        </is>
      </c>
      <c r="J84" t="n">
        <v>4</v>
      </c>
      <c r="K84" t="inlineStr">
        <is>
          <t>Fully Paid</t>
        </is>
      </c>
      <c r="L84" t="inlineStr">
        <is>
          <t>Primacy 5</t>
        </is>
      </c>
      <c r="M84" t="inlineStr">
        <is>
          <t>0920-948-0742</t>
        </is>
      </c>
      <c r="N84" t="inlineStr">
        <is>
          <t>peternelson.patacsil@mayniladwater.com.ph</t>
        </is>
      </c>
      <c r="O84" s="24" t="n">
        <v>29745.54</v>
      </c>
    </row>
    <row r="85">
      <c r="A85" t="inlineStr">
        <is>
          <t>After | Jul 15–Aug 31</t>
        </is>
      </c>
      <c r="B85" s="23" t="n">
        <v>46225</v>
      </c>
      <c r="C85" t="inlineStr">
        <is>
          <t>Jul 25, 2026, 8:00:00 AM</t>
        </is>
      </c>
      <c r="D85" t="inlineStr">
        <is>
          <t>37435</t>
        </is>
      </c>
      <c r="E85" t="inlineStr">
        <is>
          <t>Romeo Rubio</t>
        </is>
      </c>
      <c r="F85" t="inlineStr">
        <is>
          <t>MICHELIN 205/50/R17 PRIMACY 5 93W</t>
        </is>
      </c>
      <c r="G85" t="inlineStr">
        <is>
          <t>DEV</t>
        </is>
      </c>
      <c r="H85" t="inlineStr">
        <is>
          <t>Fulfilled</t>
        </is>
      </c>
      <c r="I85" t="inlineStr">
        <is>
          <t>DEV</t>
        </is>
      </c>
      <c r="J85" t="n">
        <v>4</v>
      </c>
      <c r="K85" t="inlineStr">
        <is>
          <t>Fully Paid</t>
        </is>
      </c>
      <c r="L85" t="inlineStr">
        <is>
          <t>Primacy 5</t>
        </is>
      </c>
      <c r="M85" t="inlineStr">
        <is>
          <t>09178198102</t>
        </is>
      </c>
      <c r="N85" t="inlineStr">
        <is>
          <t>romeojrrubio@gmail.com</t>
        </is>
      </c>
      <c r="O85" s="24" t="n">
        <v>27388.39</v>
      </c>
    </row>
    <row r="86">
      <c r="A86" t="inlineStr">
        <is>
          <t>After | Jul 15–Aug 31</t>
        </is>
      </c>
      <c r="B86" s="23" t="n">
        <v>46227</v>
      </c>
      <c r="C86" t="inlineStr">
        <is>
          <t>Jul 24, 2026, 5:00:00 PM</t>
        </is>
      </c>
      <c r="D86" t="inlineStr">
        <is>
          <t>37499</t>
        </is>
      </c>
      <c r="E86" t="inlineStr">
        <is>
          <t>Dr marcel garcia</t>
        </is>
      </c>
      <c r="F86" t="inlineStr">
        <is>
          <t>MICHELIN 255/55/R18 PILOT SPORT 4 SUV 109Y XL TL</t>
        </is>
      </c>
      <c r="G86" t="inlineStr">
        <is>
          <t>DEV</t>
        </is>
      </c>
      <c r="H86" t="inlineStr">
        <is>
          <t>Fulfilled</t>
        </is>
      </c>
      <c r="I86" t="inlineStr">
        <is>
          <t>DEV</t>
        </is>
      </c>
      <c r="J86" t="n">
        <v>4</v>
      </c>
      <c r="K86" t="inlineStr">
        <is>
          <t>Fully Paid</t>
        </is>
      </c>
      <c r="L86" t="inlineStr">
        <is>
          <t>Pilot Sport 4 S</t>
        </is>
      </c>
      <c r="M86" t="inlineStr">
        <is>
          <t>0917-710-3578</t>
        </is>
      </c>
      <c r="N86" t="inlineStr">
        <is>
          <t>mrrgarcia@ymail.com</t>
        </is>
      </c>
      <c r="O86" s="24" t="n">
        <v>49107.14</v>
      </c>
    </row>
    <row r="87">
      <c r="A87" t="inlineStr">
        <is>
          <t>After | Jul 15–Aug 31</t>
        </is>
      </c>
      <c r="B87" s="23" t="n">
        <v>46224</v>
      </c>
      <c r="C87" t="inlineStr">
        <is>
          <t>Jul 24, 2026, 3:00:00 PM</t>
        </is>
      </c>
      <c r="D87" t="inlineStr">
        <is>
          <t>37421</t>
        </is>
      </c>
      <c r="E87" t="inlineStr">
        <is>
          <t>Jerome Angelo Castro</t>
        </is>
      </c>
      <c r="F87" t="inlineStr">
        <is>
          <t>MICHELIN 205/50/ZR16 PILOT SPORT 4 ST 91W XL TL</t>
        </is>
      </c>
      <c r="G87" t="inlineStr">
        <is>
          <t>DEV</t>
        </is>
      </c>
      <c r="H87" t="inlineStr">
        <is>
          <t>Fulfilled</t>
        </is>
      </c>
      <c r="I87" t="inlineStr">
        <is>
          <t>DEV</t>
        </is>
      </c>
      <c r="J87" t="n">
        <v>4</v>
      </c>
      <c r="K87" t="inlineStr">
        <is>
          <t>Fully Paid</t>
        </is>
      </c>
      <c r="L87" t="inlineStr">
        <is>
          <t>Pilot Sport 4 S</t>
        </is>
      </c>
      <c r="M87" t="inlineStr">
        <is>
          <t>09175530781</t>
        </is>
      </c>
      <c r="N87" t="inlineStr">
        <is>
          <t>j.castro2213@gmail.com</t>
        </is>
      </c>
      <c r="O87" s="24" t="n">
        <v>27901.79</v>
      </c>
    </row>
    <row r="88">
      <c r="A88" t="inlineStr">
        <is>
          <t>After | Jul 15–Aug 31</t>
        </is>
      </c>
      <c r="B88" s="23" t="n">
        <v>46227</v>
      </c>
      <c r="C88" t="inlineStr">
        <is>
          <t>Jul 24, 2026, 3:00:00 PM</t>
        </is>
      </c>
      <c r="D88" t="inlineStr">
        <is>
          <t>37489</t>
        </is>
      </c>
      <c r="E88" t="inlineStr">
        <is>
          <t>Emerson Rabe</t>
        </is>
      </c>
      <c r="F88" t="inlineStr">
        <is>
          <t>MICHELIN 205/60/R16 PRIMACY 5 96W XL</t>
        </is>
      </c>
      <c r="G88" t="inlineStr">
        <is>
          <t>DEV</t>
        </is>
      </c>
      <c r="H88" t="inlineStr">
        <is>
          <t>Fulfilled</t>
        </is>
      </c>
      <c r="I88" t="inlineStr">
        <is>
          <t>DEV</t>
        </is>
      </c>
      <c r="J88" t="n">
        <v>4</v>
      </c>
      <c r="K88" t="inlineStr">
        <is>
          <t>Fully Paid</t>
        </is>
      </c>
      <c r="L88" t="inlineStr">
        <is>
          <t>Primacy 5</t>
        </is>
      </c>
      <c r="M88" t="inlineStr">
        <is>
          <t>09693191633</t>
        </is>
      </c>
      <c r="N88" t="inlineStr">
        <is>
          <t>emerson_rabe@yahoo.com</t>
        </is>
      </c>
      <c r="O88" s="24" t="n">
        <v>24767.86</v>
      </c>
    </row>
    <row r="89">
      <c r="A89" t="inlineStr">
        <is>
          <t>After | Jul 15–Aug 31</t>
        </is>
      </c>
      <c r="B89" s="23" t="n">
        <v>46225</v>
      </c>
      <c r="C89" t="inlineStr">
        <is>
          <t>Jul 24, 2026, 1:00:00 PM</t>
        </is>
      </c>
      <c r="D89" t="inlineStr">
        <is>
          <t>37444</t>
        </is>
      </c>
      <c r="E89" t="inlineStr">
        <is>
          <t>Link Shin</t>
        </is>
      </c>
      <c r="F89" t="inlineStr">
        <is>
          <t>MICHELIN 205/60/R16 PRIMACY 5 96W XL</t>
        </is>
      </c>
      <c r="G89" t="inlineStr">
        <is>
          <t>ROLYN ANG</t>
        </is>
      </c>
      <c r="H89" t="inlineStr">
        <is>
          <t>Fulfilled</t>
        </is>
      </c>
      <c r="I89" t="inlineStr">
        <is>
          <t>ROLYN ANG</t>
        </is>
      </c>
      <c r="J89" t="n">
        <v>4</v>
      </c>
      <c r="K89" t="inlineStr">
        <is>
          <t>Fully Paid</t>
        </is>
      </c>
      <c r="L89" t="inlineStr">
        <is>
          <t>Primacy 5</t>
        </is>
      </c>
      <c r="M89" t="inlineStr">
        <is>
          <t>09687913957</t>
        </is>
      </c>
      <c r="N89" t="inlineStr">
        <is>
          <t>link963306@gmail.com</t>
        </is>
      </c>
      <c r="O89" s="24" t="n">
        <v>24321.43</v>
      </c>
    </row>
    <row r="90">
      <c r="A90" t="inlineStr">
        <is>
          <t>After | Jul 15–Aug 31</t>
        </is>
      </c>
      <c r="B90" s="23" t="n">
        <v>46219</v>
      </c>
      <c r="C90" t="inlineStr">
        <is>
          <t>Jul 24, 2026, 1:00:00 PM</t>
        </is>
      </c>
      <c r="D90" t="inlineStr">
        <is>
          <t>37175</t>
        </is>
      </c>
      <c r="E90" t="inlineStr">
        <is>
          <t>Reiner Sy</t>
        </is>
      </c>
      <c r="F90" t="inlineStr">
        <is>
          <t>MICHELIN 235/55/R18 PRIMACY 5 104W</t>
        </is>
      </c>
      <c r="G90" t="inlineStr">
        <is>
          <t>DEV</t>
        </is>
      </c>
      <c r="H90" t="inlineStr">
        <is>
          <t>Fulfilled</t>
        </is>
      </c>
      <c r="I90" t="inlineStr">
        <is>
          <t>DEV</t>
        </is>
      </c>
      <c r="J90" t="n">
        <v>4</v>
      </c>
      <c r="K90" t="inlineStr">
        <is>
          <t>Fully Paid</t>
        </is>
      </c>
      <c r="L90" t="inlineStr">
        <is>
          <t>Primacy 5</t>
        </is>
      </c>
      <c r="M90" t="inlineStr">
        <is>
          <t>09190965960</t>
        </is>
      </c>
      <c r="N90" t="inlineStr">
        <is>
          <t>Reiner_Sy@yahoo.com</t>
        </is>
      </c>
      <c r="O90" s="24" t="n">
        <v>35816.96</v>
      </c>
    </row>
    <row r="91">
      <c r="A91" t="inlineStr">
        <is>
          <t>After | Jul 15–Aug 31</t>
        </is>
      </c>
      <c r="B91" s="23" t="n">
        <v>46225</v>
      </c>
      <c r="C91" t="inlineStr">
        <is>
          <t>Jul 24, 2026, 10:00:00 AM</t>
        </is>
      </c>
      <c r="D91" t="inlineStr">
        <is>
          <t>37447</t>
        </is>
      </c>
      <c r="E91" t="inlineStr">
        <is>
          <t>DELFIN M. SUAREZ JR.</t>
        </is>
      </c>
      <c r="F91" t="inlineStr">
        <is>
          <t>MICHELIN 225/45/R18 PRIMACY 5 95Y</t>
        </is>
      </c>
      <c r="G91" t="inlineStr">
        <is>
          <t>ROLYN ANG</t>
        </is>
      </c>
      <c r="H91" t="inlineStr">
        <is>
          <t>Fulfilled</t>
        </is>
      </c>
      <c r="I91" t="inlineStr">
        <is>
          <t>ROLYN ANG</t>
        </is>
      </c>
      <c r="J91" t="n">
        <v>4</v>
      </c>
      <c r="K91" t="inlineStr">
        <is>
          <t>Fully Paid</t>
        </is>
      </c>
      <c r="L91" t="inlineStr">
        <is>
          <t>Primacy 5</t>
        </is>
      </c>
      <c r="M91" t="inlineStr">
        <is>
          <t>09778193482</t>
        </is>
      </c>
      <c r="N91" t="inlineStr">
        <is>
          <t>djrsuarez@outlook.ph</t>
        </is>
      </c>
      <c r="O91" s="24" t="n">
        <v>33571.43</v>
      </c>
    </row>
    <row r="92">
      <c r="A92" t="inlineStr">
        <is>
          <t>After | Jul 15–Aug 31</t>
        </is>
      </c>
      <c r="B92" s="23" t="n">
        <v>46223</v>
      </c>
      <c r="C92" t="inlineStr">
        <is>
          <t>Jul 24, 2026, 9:00:00 AM</t>
        </is>
      </c>
      <c r="D92" t="inlineStr">
        <is>
          <t>37341</t>
        </is>
      </c>
      <c r="E92" t="inlineStr">
        <is>
          <t>Jeff Go</t>
        </is>
      </c>
      <c r="F92" t="inlineStr">
        <is>
          <t>MICHELIN 225/45/ZR18 PILOT SPORT 5 95Y XL TL</t>
        </is>
      </c>
      <c r="G92" t="inlineStr">
        <is>
          <t>REMYLYN</t>
        </is>
      </c>
      <c r="H92" t="inlineStr">
        <is>
          <t>Fulfilled</t>
        </is>
      </c>
      <c r="I92" t="inlineStr">
        <is>
          <t>REMYLYN</t>
        </is>
      </c>
      <c r="J92" t="n">
        <v>4</v>
      </c>
      <c r="K92" t="inlineStr">
        <is>
          <t>Fully Paid</t>
        </is>
      </c>
      <c r="L92" t="inlineStr">
        <is>
          <t>Pilot Sport 5</t>
        </is>
      </c>
      <c r="M92" t="inlineStr">
        <is>
          <t>0947-868-6178</t>
        </is>
      </c>
      <c r="N92" t="inlineStr">
        <is>
          <t>jeffgo0821@gmail.com</t>
        </is>
      </c>
      <c r="O92" s="24" t="n">
        <v>40044.64</v>
      </c>
    </row>
    <row r="93">
      <c r="A93" t="inlineStr">
        <is>
          <t>After | Jul 15–Aug 31</t>
        </is>
      </c>
      <c r="B93" s="23" t="n">
        <v>46223</v>
      </c>
      <c r="C93" t="inlineStr">
        <is>
          <t>Jul 23, 2026, 9:00:00 AM</t>
        </is>
      </c>
      <c r="D93" t="inlineStr">
        <is>
          <t>37317</t>
        </is>
      </c>
      <c r="E93" t="inlineStr">
        <is>
          <t>Eduardo Polvito</t>
        </is>
      </c>
      <c r="F93" t="inlineStr">
        <is>
          <t>MICHELIN 195/60/R16 PRIMACY 5 93V</t>
        </is>
      </c>
      <c r="G93" t="inlineStr">
        <is>
          <t>DEV</t>
        </is>
      </c>
      <c r="H93" t="inlineStr">
        <is>
          <t>Fulfilled</t>
        </is>
      </c>
      <c r="I93" t="inlineStr">
        <is>
          <t>DEV</t>
        </is>
      </c>
      <c r="J93" t="n">
        <v>4</v>
      </c>
      <c r="K93" t="inlineStr">
        <is>
          <t>Fully Paid</t>
        </is>
      </c>
      <c r="L93" t="inlineStr">
        <is>
          <t>Primacy 5</t>
        </is>
      </c>
      <c r="M93" t="inlineStr">
        <is>
          <t>09278541047</t>
        </is>
      </c>
      <c r="N93" t="inlineStr">
        <is>
          <t>eddaries@yahoo.com</t>
        </is>
      </c>
      <c r="O93" s="24" t="n">
        <v>25714.29</v>
      </c>
    </row>
    <row r="94">
      <c r="A94" t="inlineStr">
        <is>
          <t>After | Jul 15–Aug 31</t>
        </is>
      </c>
      <c r="B94" s="23" t="n">
        <v>46224</v>
      </c>
      <c r="C94" t="inlineStr">
        <is>
          <t>Jul 23, 2026, 9:00:00 AM</t>
        </is>
      </c>
      <c r="D94" t="inlineStr">
        <is>
          <t>37415</t>
        </is>
      </c>
      <c r="E94" t="inlineStr">
        <is>
          <t>mark nicart</t>
        </is>
      </c>
      <c r="F94" t="inlineStr">
        <is>
          <t>MICHELIN 205/50/R17 PRIMACY 5 93W</t>
        </is>
      </c>
      <c r="G94" t="inlineStr">
        <is>
          <t>TAIRA</t>
        </is>
      </c>
      <c r="H94" t="inlineStr">
        <is>
          <t>Fulfilled</t>
        </is>
      </c>
      <c r="I94" t="inlineStr">
        <is>
          <t>SARAH MAE MANANSALA</t>
        </is>
      </c>
      <c r="J94" t="n">
        <v>4</v>
      </c>
      <c r="K94" t="inlineStr">
        <is>
          <t>Fully Paid</t>
        </is>
      </c>
      <c r="L94" t="inlineStr">
        <is>
          <t>Primacy 5</t>
        </is>
      </c>
      <c r="M94" t="inlineStr">
        <is>
          <t>0916-407-8608</t>
        </is>
      </c>
      <c r="N94" t="inlineStr">
        <is>
          <t>mrdeejay16@yahoo.com</t>
        </is>
      </c>
      <c r="O94" s="24" t="n">
        <v>28459.82</v>
      </c>
    </row>
    <row r="95">
      <c r="A95" t="inlineStr">
        <is>
          <t>After | Jul 15–Aug 31</t>
        </is>
      </c>
      <c r="B95" s="23" t="n">
        <v>46224</v>
      </c>
      <c r="C95" t="inlineStr">
        <is>
          <t>Jul 23, 2026, 9:00:00 AM</t>
        </is>
      </c>
      <c r="D95" t="inlineStr">
        <is>
          <t>37399</t>
        </is>
      </c>
      <c r="E95" t="inlineStr">
        <is>
          <t>Mark Zaguirre</t>
        </is>
      </c>
      <c r="F95" t="inlineStr">
        <is>
          <t>MICHELIN 235/50/R18 PRIMACY 5 97W</t>
        </is>
      </c>
      <c r="G95" t="inlineStr">
        <is>
          <t>SARAH MAE MANANSALA</t>
        </is>
      </c>
      <c r="H95" t="inlineStr">
        <is>
          <t>Fulfilled</t>
        </is>
      </c>
      <c r="I95" t="inlineStr">
        <is>
          <t>SARAH MAE MANANSALA</t>
        </is>
      </c>
      <c r="J95" t="n">
        <v>4</v>
      </c>
      <c r="K95" t="inlineStr">
        <is>
          <t>Fully Paid</t>
        </is>
      </c>
      <c r="L95" t="inlineStr">
        <is>
          <t>Primacy 5</t>
        </is>
      </c>
      <c r="M95" t="inlineStr">
        <is>
          <t>0936-477-4540</t>
        </is>
      </c>
      <c r="N95" t="inlineStr">
        <is>
          <t>docmark@gmail.com</t>
        </is>
      </c>
      <c r="O95" s="24" t="n">
        <v>37727.68</v>
      </c>
    </row>
    <row r="96">
      <c r="A96" t="inlineStr">
        <is>
          <t>After | Jul 15–Aug 31</t>
        </is>
      </c>
      <c r="B96" s="23" t="n">
        <v>46223</v>
      </c>
      <c r="C96" t="inlineStr">
        <is>
          <t>Jul 23, 2026, 9:00:00 AM</t>
        </is>
      </c>
      <c r="D96" t="inlineStr">
        <is>
          <t>37363</t>
        </is>
      </c>
      <c r="E96" t="inlineStr">
        <is>
          <t>KRISTOPHER JOHN KAMATOY</t>
        </is>
      </c>
      <c r="F96" t="inlineStr">
        <is>
          <t>MICHELIN 225/40/ZR18 PILOT SPORT 5 92Y XL TL</t>
        </is>
      </c>
      <c r="G96" t="inlineStr">
        <is>
          <t>DEV</t>
        </is>
      </c>
      <c r="H96" t="inlineStr">
        <is>
          <t>Fulfilled</t>
        </is>
      </c>
      <c r="I96" t="inlineStr">
        <is>
          <t>DEV</t>
        </is>
      </c>
      <c r="J96" t="n">
        <v>4</v>
      </c>
      <c r="K96" t="inlineStr">
        <is>
          <t>Fully Paid</t>
        </is>
      </c>
      <c r="L96" t="inlineStr">
        <is>
          <t>Pilot Sport 5</t>
        </is>
      </c>
      <c r="M96" t="inlineStr">
        <is>
          <t>09490707863</t>
        </is>
      </c>
      <c r="N96" t="inlineStr">
        <is>
          <t>kriskamatoy@gmail.com</t>
        </is>
      </c>
      <c r="O96" s="24" t="n">
        <v>41852.68</v>
      </c>
    </row>
    <row r="97">
      <c r="A97" t="inlineStr">
        <is>
          <t>After | Jul 15–Aug 31</t>
        </is>
      </c>
      <c r="B97" s="23" t="n">
        <v>46223</v>
      </c>
      <c r="C97" t="inlineStr">
        <is>
          <t>Jul 22, 2026, 3:00:00 PM</t>
        </is>
      </c>
      <c r="D97" t="inlineStr">
        <is>
          <t>37355</t>
        </is>
      </c>
      <c r="E97" t="inlineStr">
        <is>
          <t>John Dexter Ramos</t>
        </is>
      </c>
      <c r="F97" t="inlineStr">
        <is>
          <t>MICHELIN 225/55/R18 PRIMACY 5 102V</t>
        </is>
      </c>
      <c r="G97" t="inlineStr">
        <is>
          <t>DEV</t>
        </is>
      </c>
      <c r="H97" t="inlineStr">
        <is>
          <t>Fulfilled</t>
        </is>
      </c>
      <c r="I97" t="inlineStr">
        <is>
          <t>DEV</t>
        </is>
      </c>
      <c r="J97" t="n">
        <v>4</v>
      </c>
      <c r="K97" t="inlineStr">
        <is>
          <t>Fully Paid</t>
        </is>
      </c>
      <c r="L97" t="inlineStr">
        <is>
          <t>Primacy 5</t>
        </is>
      </c>
      <c r="M97" t="inlineStr">
        <is>
          <t>09065940208</t>
        </is>
      </c>
      <c r="N97" t="inlineStr">
        <is>
          <t>johndexter.ramos.ramos@gmail.com</t>
        </is>
      </c>
      <c r="O97" s="24" t="n">
        <v>35799.11</v>
      </c>
    </row>
    <row r="98">
      <c r="A98" t="inlineStr">
        <is>
          <t>After | Jul 15–Aug 31</t>
        </is>
      </c>
      <c r="B98" s="23" t="n">
        <v>46221</v>
      </c>
      <c r="C98" t="inlineStr">
        <is>
          <t>Jul 22, 2026, 1:00:00 PM</t>
        </is>
      </c>
      <c r="D98" t="inlineStr">
        <is>
          <t>37246</t>
        </is>
      </c>
      <c r="E98" t="inlineStr">
        <is>
          <t>JaEm Iglesias</t>
        </is>
      </c>
      <c r="F98" t="inlineStr">
        <is>
          <t>MICHELIN 205/55/R16 PRIMACY 5 91W</t>
        </is>
      </c>
      <c r="G98" t="inlineStr">
        <is>
          <t>ROLYN ANG</t>
        </is>
      </c>
      <c r="H98" t="inlineStr">
        <is>
          <t>Fulfilled</t>
        </is>
      </c>
      <c r="I98" t="inlineStr">
        <is>
          <t>ROLYN ANG</t>
        </is>
      </c>
      <c r="J98" t="n">
        <v>4</v>
      </c>
      <c r="K98" t="inlineStr">
        <is>
          <t>Fully Paid</t>
        </is>
      </c>
      <c r="L98" t="inlineStr">
        <is>
          <t>Primacy 5</t>
        </is>
      </c>
      <c r="M98" t="inlineStr">
        <is>
          <t>0917-526-2281</t>
        </is>
      </c>
      <c r="N98" t="inlineStr">
        <is>
          <t>jaem.iglesias@gmail.com</t>
        </is>
      </c>
      <c r="O98" s="24" t="n">
        <v>22392.86</v>
      </c>
    </row>
    <row r="99">
      <c r="A99" t="inlineStr">
        <is>
          <t>After | Jul 15–Aug 31</t>
        </is>
      </c>
      <c r="B99" s="23" t="n">
        <v>46222</v>
      </c>
      <c r="C99" t="inlineStr">
        <is>
          <t>Jul 22, 2026, 9:30:00 AM</t>
        </is>
      </c>
      <c r="D99" t="inlineStr">
        <is>
          <t>37287</t>
        </is>
      </c>
      <c r="E99" t="inlineStr">
        <is>
          <t>Chris Soon</t>
        </is>
      </c>
      <c r="F99" t="inlineStr">
        <is>
          <t>MICHELIN 205/55/R17 PRIMACY 5 95W</t>
        </is>
      </c>
      <c r="G99" t="inlineStr">
        <is>
          <t>DEV</t>
        </is>
      </c>
      <c r="H99" t="inlineStr">
        <is>
          <t>Fulfilled</t>
        </is>
      </c>
      <c r="I99" t="inlineStr">
        <is>
          <t>DEV</t>
        </is>
      </c>
      <c r="J99" t="n">
        <v>4</v>
      </c>
      <c r="K99" t="inlineStr">
        <is>
          <t>Fully Paid</t>
        </is>
      </c>
      <c r="L99" t="inlineStr">
        <is>
          <t>Primacy 5</t>
        </is>
      </c>
      <c r="M99" t="inlineStr">
        <is>
          <t>09175037272</t>
        </is>
      </c>
      <c r="N99" t="inlineStr">
        <is>
          <t>ckidsoon@gmail.com</t>
        </is>
      </c>
      <c r="O99" s="24" t="n">
        <v>29120.54</v>
      </c>
    </row>
    <row r="100">
      <c r="A100" t="inlineStr">
        <is>
          <t>After | Jul 15–Aug 31</t>
        </is>
      </c>
      <c r="B100" s="23" t="n">
        <v>46223</v>
      </c>
      <c r="C100" t="inlineStr">
        <is>
          <t>Jul 22, 2026, 9:00:00 AM</t>
        </is>
      </c>
      <c r="D100" t="inlineStr">
        <is>
          <t>37347</t>
        </is>
      </c>
      <c r="E100" t="inlineStr">
        <is>
          <t>Eryan Nayre</t>
        </is>
      </c>
      <c r="F100" t="inlineStr">
        <is>
          <t>MICHELIN 235/45/ZR19 PILOT SPORT 5 99Y</t>
        </is>
      </c>
      <c r="G100" t="inlineStr">
        <is>
          <t>REMYLYN</t>
        </is>
      </c>
      <c r="H100" t="inlineStr">
        <is>
          <t>Fulfilled</t>
        </is>
      </c>
      <c r="I100" t="inlineStr">
        <is>
          <t>REMYLYN</t>
        </is>
      </c>
      <c r="J100" t="n">
        <v>4</v>
      </c>
      <c r="K100" t="inlineStr">
        <is>
          <t>Partial Payment</t>
        </is>
      </c>
      <c r="L100" t="inlineStr">
        <is>
          <t>Pilot Sport 5</t>
        </is>
      </c>
      <c r="M100" t="inlineStr">
        <is>
          <t>0962-747-1462</t>
        </is>
      </c>
      <c r="N100" t="inlineStr">
        <is>
          <t>choiyanz30@gmail.com</t>
        </is>
      </c>
      <c r="O100" s="24" t="n">
        <v>55138.39</v>
      </c>
    </row>
    <row r="101">
      <c r="A101" t="inlineStr">
        <is>
          <t>After | Jul 15–Aug 31</t>
        </is>
      </c>
      <c r="B101" s="23" t="n">
        <v>46223</v>
      </c>
      <c r="C101" t="inlineStr">
        <is>
          <t>Jul 21, 2026, 3:00:00 PM</t>
        </is>
      </c>
      <c r="D101" t="inlineStr">
        <is>
          <t>37348</t>
        </is>
      </c>
      <c r="E101" t="inlineStr">
        <is>
          <t>anton martin</t>
        </is>
      </c>
      <c r="F101" t="inlineStr">
        <is>
          <t>MICHELIN 265/50/R20 PILOT SPORT 4 SUV 107V</t>
        </is>
      </c>
      <c r="G101" t="inlineStr">
        <is>
          <t>AIRA</t>
        </is>
      </c>
      <c r="H101" t="inlineStr">
        <is>
          <t>Fulfilled</t>
        </is>
      </c>
      <c r="I101" t="inlineStr">
        <is>
          <t>AIRA</t>
        </is>
      </c>
      <c r="J101" t="n">
        <v>4</v>
      </c>
      <c r="K101" t="inlineStr">
        <is>
          <t>Fully Paid</t>
        </is>
      </c>
      <c r="L101" t="inlineStr">
        <is>
          <t>Pilot Sport 4 S</t>
        </is>
      </c>
      <c r="M101" t="inlineStr">
        <is>
          <t>0977-392-1471</t>
        </is>
      </c>
      <c r="N101" t="inlineStr">
        <is>
          <t>antonio_882@yahoo.com</t>
        </is>
      </c>
      <c r="O101" s="24" t="n">
        <v>40633.93</v>
      </c>
    </row>
    <row r="102">
      <c r="A102" t="inlineStr">
        <is>
          <t>After | Jul 15–Aug 31</t>
        </is>
      </c>
      <c r="B102" s="23" t="n">
        <v>46221</v>
      </c>
      <c r="C102" t="inlineStr">
        <is>
          <t>Jul 20, 2026, 3:00:00 PM</t>
        </is>
      </c>
      <c r="D102" t="inlineStr">
        <is>
          <t>37240</t>
        </is>
      </c>
      <c r="E102" t="inlineStr">
        <is>
          <t>Santiago Romero</t>
        </is>
      </c>
      <c r="F102" t="inlineStr">
        <is>
          <t>MICHELIN 255/45/ZR19 PILOT SPORT 5 104Y XL TL</t>
        </is>
      </c>
      <c r="G102" t="inlineStr">
        <is>
          <t>ROLYN ANG</t>
        </is>
      </c>
      <c r="H102" t="inlineStr">
        <is>
          <t>Fulfilled</t>
        </is>
      </c>
      <c r="I102" t="inlineStr">
        <is>
          <t>ROLYN ANG</t>
        </is>
      </c>
      <c r="J102" t="n">
        <v>4</v>
      </c>
      <c r="K102" t="inlineStr">
        <is>
          <t>Fully Paid</t>
        </is>
      </c>
      <c r="L102" t="inlineStr">
        <is>
          <t>Pilot Sport 5</t>
        </is>
      </c>
      <c r="M102" t="inlineStr">
        <is>
          <t>0966-695-644</t>
        </is>
      </c>
      <c r="N102" t="inlineStr">
        <is>
          <t>argoromero57@gmail.com</t>
        </is>
      </c>
      <c r="O102" s="24" t="n">
        <v>47491.07</v>
      </c>
    </row>
    <row r="103">
      <c r="A103" t="inlineStr">
        <is>
          <t>After | Jul 15–Aug 31</t>
        </is>
      </c>
      <c r="B103" s="23" t="n">
        <v>46222</v>
      </c>
      <c r="C103" t="inlineStr">
        <is>
          <t>Jul 20, 2026, 1:00:00 PM</t>
        </is>
      </c>
      <c r="D103" t="inlineStr">
        <is>
          <t>37288</t>
        </is>
      </c>
      <c r="E103" t="inlineStr">
        <is>
          <t>Mark Joseph Romero</t>
        </is>
      </c>
      <c r="F103" t="inlineStr">
        <is>
          <t>MICHELIN 235/40/ZR19 PILOT SPORT 5 96Y XL TL</t>
        </is>
      </c>
      <c r="G103" t="inlineStr">
        <is>
          <t>AIRA</t>
        </is>
      </c>
      <c r="H103" t="inlineStr">
        <is>
          <t>Fulfilled</t>
        </is>
      </c>
      <c r="I103" t="inlineStr">
        <is>
          <t>AIRA</t>
        </is>
      </c>
      <c r="J103" t="n">
        <v>4</v>
      </c>
      <c r="K103" t="inlineStr">
        <is>
          <t>Fully Paid</t>
        </is>
      </c>
      <c r="L103" t="inlineStr">
        <is>
          <t>Pilot Sport 5</t>
        </is>
      </c>
      <c r="M103" t="inlineStr">
        <is>
          <t>0951-725-9757</t>
        </is>
      </c>
      <c r="N103" t="inlineStr">
        <is>
          <t>romero221125@gmail.com</t>
        </is>
      </c>
      <c r="O103" s="24" t="n">
        <v>60160.71</v>
      </c>
    </row>
    <row r="104">
      <c r="A104" t="inlineStr">
        <is>
          <t>After | Jul 15–Aug 31</t>
        </is>
      </c>
      <c r="B104" s="23" t="n">
        <v>46222</v>
      </c>
      <c r="C104" t="inlineStr">
        <is>
          <t>Jul 20, 2026, 9:00:00 AM</t>
        </is>
      </c>
      <c r="D104" t="inlineStr">
        <is>
          <t>37285</t>
        </is>
      </c>
      <c r="E104" t="inlineStr">
        <is>
          <t>Rodney rubica</t>
        </is>
      </c>
      <c r="F104" t="inlineStr">
        <is>
          <t>MICHELIN 245/50/R19 PILOT SPORT 4 SUV 105W</t>
        </is>
      </c>
      <c r="G104" t="inlineStr">
        <is>
          <t>REMYLYN</t>
        </is>
      </c>
      <c r="H104" t="inlineStr">
        <is>
          <t>Fulfilled</t>
        </is>
      </c>
      <c r="I104" t="inlineStr">
        <is>
          <t>REMYLYN</t>
        </is>
      </c>
      <c r="J104" t="n">
        <v>4</v>
      </c>
      <c r="K104" t="inlineStr">
        <is>
          <t>Partial Payment</t>
        </is>
      </c>
      <c r="L104" t="inlineStr">
        <is>
          <t>Pilot Sport 4 S</t>
        </is>
      </c>
      <c r="M104" t="inlineStr">
        <is>
          <t>0917-312-5033</t>
        </is>
      </c>
      <c r="N104" t="inlineStr">
        <is>
          <t>rodneyrubica@icloud.com</t>
        </is>
      </c>
      <c r="O104" s="24" t="n">
        <v>68732.14</v>
      </c>
    </row>
    <row r="105">
      <c r="A105" t="inlineStr">
        <is>
          <t>After | Jul 15–Aug 31</t>
        </is>
      </c>
      <c r="B105" s="23" t="n">
        <v>46219</v>
      </c>
      <c r="C105" t="inlineStr">
        <is>
          <t>Jul 18, 2026, 2:00:00 PM</t>
        </is>
      </c>
      <c r="D105" t="inlineStr">
        <is>
          <t>37170</t>
        </is>
      </c>
      <c r="E105" t="inlineStr">
        <is>
          <t>dante liwanag</t>
        </is>
      </c>
      <c r="F105" t="inlineStr">
        <is>
          <t>MICHELIN 255/40/ZR19 PILOT SPORT 5 100Y</t>
        </is>
      </c>
      <c r="G105" t="inlineStr">
        <is>
          <t>SARAH MAE MANANSALA</t>
        </is>
      </c>
      <c r="H105" t="inlineStr">
        <is>
          <t>Fulfilled</t>
        </is>
      </c>
      <c r="I105" t="inlineStr">
        <is>
          <t>SARAH MAE MANANSALA</t>
        </is>
      </c>
      <c r="J105" t="n">
        <v>4</v>
      </c>
      <c r="K105" t="inlineStr">
        <is>
          <t>Partial Payment</t>
        </is>
      </c>
      <c r="L105" t="inlineStr">
        <is>
          <t>Pilot Sport 5</t>
        </is>
      </c>
      <c r="M105" t="inlineStr">
        <is>
          <t>0918-416-6003</t>
        </is>
      </c>
      <c r="N105" t="inlineStr">
        <is>
          <t>dante73liwanag@gmail.com</t>
        </is>
      </c>
      <c r="O105" s="24" t="n">
        <v>42000</v>
      </c>
    </row>
    <row r="106">
      <c r="A106" t="inlineStr">
        <is>
          <t>After | Jul 15–Aug 31</t>
        </is>
      </c>
      <c r="B106" s="23" t="n">
        <v>46220</v>
      </c>
      <c r="C106" t="inlineStr">
        <is>
          <t>Jul 18, 2026, 10:00:00 AM</t>
        </is>
      </c>
      <c r="D106" t="inlineStr">
        <is>
          <t>37211</t>
        </is>
      </c>
      <c r="E106" t="inlineStr">
        <is>
          <t>Abril Briones</t>
        </is>
      </c>
      <c r="F106" t="inlineStr">
        <is>
          <t>MICHELIN 205/50/R17 PRIMACY 5 93W</t>
        </is>
      </c>
      <c r="G106" t="inlineStr">
        <is>
          <t>AIRA</t>
        </is>
      </c>
      <c r="H106" t="inlineStr">
        <is>
          <t>Fulfilled</t>
        </is>
      </c>
      <c r="I106" t="inlineStr">
        <is>
          <t>AIRA</t>
        </is>
      </c>
      <c r="J106" t="n">
        <v>4</v>
      </c>
      <c r="K106" t="inlineStr">
        <is>
          <t>Fully Paid</t>
        </is>
      </c>
      <c r="L106" t="inlineStr">
        <is>
          <t>Primacy 5</t>
        </is>
      </c>
      <c r="M106" t="inlineStr">
        <is>
          <t>09190735199</t>
        </is>
      </c>
      <c r="N106" t="inlineStr">
        <is>
          <t>ajcbriones21@gmail.com</t>
        </is>
      </c>
      <c r="O106" s="24" t="n">
        <v>26875</v>
      </c>
    </row>
    <row r="107">
      <c r="A107" t="inlineStr">
        <is>
          <t>After | Jul 15–Aug 31</t>
        </is>
      </c>
      <c r="B107" s="23" t="n">
        <v>46218</v>
      </c>
      <c r="C107" t="inlineStr">
        <is>
          <t>Jul 18, 2026, 9:00:00 AM</t>
        </is>
      </c>
      <c r="D107" t="inlineStr">
        <is>
          <t>37135</t>
        </is>
      </c>
      <c r="E107" t="inlineStr">
        <is>
          <t>Emmanuel Ibanez</t>
        </is>
      </c>
      <c r="F107" t="inlineStr">
        <is>
          <t>MICHELIN 225/50/R18 PRIMACY 5 99W</t>
        </is>
      </c>
      <c r="G107" t="inlineStr">
        <is>
          <t>DEV</t>
        </is>
      </c>
      <c r="H107" t="inlineStr">
        <is>
          <t>Fulfilled</t>
        </is>
      </c>
      <c r="I107" t="inlineStr">
        <is>
          <t>DEV</t>
        </is>
      </c>
      <c r="J107" t="n">
        <v>4</v>
      </c>
      <c r="K107" t="inlineStr">
        <is>
          <t>Fully Paid</t>
        </is>
      </c>
      <c r="L107" t="inlineStr">
        <is>
          <t>Primacy 5</t>
        </is>
      </c>
      <c r="M107" t="inlineStr">
        <is>
          <t>09178646550</t>
        </is>
      </c>
      <c r="N107" t="inlineStr">
        <is>
          <t>ibanez.eman@gmail.com</t>
        </is>
      </c>
      <c r="O107" s="24" t="n">
        <v>35870.54</v>
      </c>
    </row>
    <row r="108">
      <c r="A108" t="inlineStr">
        <is>
          <t>After | Jul 15–Aug 31</t>
        </is>
      </c>
      <c r="B108" s="23" t="n">
        <v>46219</v>
      </c>
      <c r="C108" t="inlineStr">
        <is>
          <t>Jul 17, 2026, 1:00:00 PM</t>
        </is>
      </c>
      <c r="D108" t="inlineStr">
        <is>
          <t>37167</t>
        </is>
      </c>
      <c r="E108" t="inlineStr">
        <is>
          <t>james sebastian</t>
        </is>
      </c>
      <c r="F108" t="inlineStr">
        <is>
          <t>MICHELIN 255/40/ZR19 PILOT SPORT 5 100Y</t>
        </is>
      </c>
      <c r="G108" t="inlineStr">
        <is>
          <t>AIRA</t>
        </is>
      </c>
      <c r="H108" t="inlineStr">
        <is>
          <t>Fulfilled</t>
        </is>
      </c>
      <c r="I108" t="inlineStr">
        <is>
          <t>AIRA</t>
        </is>
      </c>
      <c r="J108" t="n">
        <v>4</v>
      </c>
      <c r="K108" t="inlineStr">
        <is>
          <t>Fully Paid</t>
        </is>
      </c>
      <c r="L108" t="inlineStr">
        <is>
          <t>Pilot Sport 5</t>
        </is>
      </c>
      <c r="M108" t="inlineStr">
        <is>
          <t>0927-606-3026</t>
        </is>
      </c>
      <c r="N108" t="inlineStr">
        <is>
          <t>james.sebastian@sebastianmotorsgroup.ph</t>
        </is>
      </c>
      <c r="O108" s="24" t="n">
        <v>44642.86</v>
      </c>
    </row>
    <row r="109">
      <c r="A109" t="inlineStr">
        <is>
          <t>After | Jul 15–Aug 31</t>
        </is>
      </c>
      <c r="B109" s="23" t="n">
        <v>46219</v>
      </c>
      <c r="C109" t="inlineStr">
        <is>
          <t>Jul 16, 2026, 3:00:00 PM</t>
        </is>
      </c>
      <c r="D109" t="inlineStr">
        <is>
          <t>37168</t>
        </is>
      </c>
      <c r="E109" t="inlineStr">
        <is>
          <t>ROMMEL VARGAS</t>
        </is>
      </c>
      <c r="F109" t="inlineStr">
        <is>
          <t>MICHELIN 265/35/ZR18 PILOT SPORT CUP 2 CONNECT 97Y XL</t>
        </is>
      </c>
      <c r="G109" t="inlineStr">
        <is>
          <t>ROLYN ANG</t>
        </is>
      </c>
      <c r="H109" t="inlineStr">
        <is>
          <t>Fulfilled</t>
        </is>
      </c>
      <c r="I109" t="inlineStr">
        <is>
          <t>ROLYN ANG</t>
        </is>
      </c>
      <c r="J109" t="n">
        <v>4</v>
      </c>
      <c r="K109" t="inlineStr">
        <is>
          <t>Fully Paid</t>
        </is>
      </c>
      <c r="L109" t="inlineStr">
        <is>
          <t>Pilot Sport Cup 2</t>
        </is>
      </c>
      <c r="M109" t="inlineStr">
        <is>
          <t>09296634051</t>
        </is>
      </c>
      <c r="N109" t="inlineStr">
        <is>
          <t>rommelv574@gmail.com</t>
        </is>
      </c>
      <c r="O109" s="24" t="n">
        <v>83928.57000000001</v>
      </c>
    </row>
    <row r="110">
      <c r="A110" t="inlineStr">
        <is>
          <t>After | Jul 15–Aug 31</t>
        </is>
      </c>
      <c r="B110" s="23" t="n">
        <v>46219</v>
      </c>
      <c r="C110" t="inlineStr">
        <is>
          <t>Jul 16, 2026, 3:00:00 PM</t>
        </is>
      </c>
      <c r="D110" t="inlineStr">
        <is>
          <t>37164</t>
        </is>
      </c>
      <c r="E110" t="inlineStr">
        <is>
          <t>Mark nocum</t>
        </is>
      </c>
      <c r="F110" t="inlineStr">
        <is>
          <t>MICHELIN 285/45/R22 PILOT SPORT 4 SUV 114Y</t>
        </is>
      </c>
      <c r="G110" t="inlineStr">
        <is>
          <t>SARAH MAE MANANSALA</t>
        </is>
      </c>
      <c r="H110" t="inlineStr">
        <is>
          <t>Fulfilled</t>
        </is>
      </c>
      <c r="I110" t="inlineStr">
        <is>
          <t>SARAH MAE MANANSALA</t>
        </is>
      </c>
      <c r="J110" t="n">
        <v>4</v>
      </c>
      <c r="K110" t="inlineStr">
        <is>
          <t>Fully Paid</t>
        </is>
      </c>
      <c r="L110" t="inlineStr">
        <is>
          <t>Pilot Sport 4 S</t>
        </is>
      </c>
      <c r="M110" t="inlineStr">
        <is>
          <t>0917-886-5651</t>
        </is>
      </c>
      <c r="N110" t="inlineStr">
        <is>
          <t>mark_nocum888@yahoo.com</t>
        </is>
      </c>
      <c r="O110" s="24" t="n">
        <v>101196.43</v>
      </c>
    </row>
  </sheetData>
  <autoFilter ref="A4:O110"/>
  <mergeCells count="2">
    <mergeCell ref="A2:N2"/>
    <mergeCell ref="A1:N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667085"/>
    <outlinePr summaryBelow="1" summaryRight="1"/>
    <pageSetUpPr fitToPage="1"/>
  </sheetPr>
  <dimension ref="A1:G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34" customHeight="1">
      <c r="A1" s="1" t="inlineStr">
        <is>
          <t>Analysis &amp; Methodology</t>
        </is>
      </c>
    </row>
    <row r="2" ht="28" customHeight="1">
      <c r="A2" s="2" t="inlineStr">
        <is>
          <t>Scope, definitions, comparison design, quality checks, and limitations.</t>
        </is>
      </c>
    </row>
    <row r="4">
      <c r="A4" s="7" t="inlineStr">
        <is>
          <t>Scope</t>
        </is>
      </c>
    </row>
    <row r="5" ht="30" customHeight="1">
      <c r="A5" s="17" t="inlineStr">
        <is>
          <t>• Population: fulfilled Michelin records supplied in the two Japan Promo CSV extracts.</t>
        </is>
      </c>
    </row>
    <row r="6" ht="30" customHeight="1">
      <c r="A6" s="18" t="inlineStr">
        <is>
          <t>• Before window: May 28–July 14, 2026; after window: July 15–August 31, 2026. Each named window contains 48 calendar days.</t>
        </is>
      </c>
    </row>
    <row r="7" ht="30" customHeight="1">
      <c r="A7" s="17" t="inlineStr">
        <is>
          <t>• Primary unit measures: distinct Order ID for orders and the CSV quantity field for tires sold.</t>
        </is>
      </c>
    </row>
    <row r="8" ht="30" customHeight="1">
      <c r="A8" s="18" t="inlineStr">
        <is>
          <t>• Revenue: sum of Net Sales of VAT as supplied; no margin or cost analysis is possible.</t>
        </is>
      </c>
    </row>
    <row r="10">
      <c r="A10" s="7" t="inlineStr">
        <is>
          <t>Calculations</t>
        </is>
      </c>
    </row>
    <row r="11" ht="30" customHeight="1">
      <c r="A11" s="17" t="inlineStr">
        <is>
          <t>• Absolute change = After − Before. Percentage change = After ÷ Before − 1.</t>
        </is>
      </c>
    </row>
    <row r="12" ht="30" customHeight="1">
      <c r="A12" s="18" t="inlineStr">
        <is>
          <t>• Average tires per order = total tire quantity ÷ distinct fulfilled orders.</t>
        </is>
      </c>
    </row>
    <row r="13" ht="30" customHeight="1">
      <c r="A13" s="17" t="inlineStr">
        <is>
          <t>• SKU and pattern comparisons use exact text values from the source files; 'New' means no fulfilled record in the before window.</t>
        </is>
      </c>
    </row>
    <row r="14" ht="30" customHeight="1">
      <c r="A14" s="18" t="inlineStr">
        <is>
          <t>• July versus August assigns records using order_date, not pickup_date.</t>
        </is>
      </c>
    </row>
    <row r="16">
      <c r="A16" s="7" t="inlineStr">
        <is>
          <t>Controls &amp; Limitations</t>
        </is>
      </c>
    </row>
    <row r="17" ht="30" customHeight="1">
      <c r="A17" s="17" t="inlineStr">
        <is>
          <t>• Record check: 81 before rows and 106 after rows; every row is Fulfilled and every Order ID is unique within its file.</t>
        </is>
      </c>
    </row>
    <row r="18" ht="30" customHeight="1">
      <c r="A18" s="18" t="inlineStr">
        <is>
          <t>• Reconciliation: before = 325 tires / ₱3,216,694.64; after = 430 tires / ₱4,215,834.86.</t>
        </is>
      </c>
    </row>
    <row r="19" ht="30" customHeight="1">
      <c r="A19" s="17" t="inlineStr">
        <is>
          <t>• The equal-window comparison reduces period-length bias but does not control for seasonality, stock availability, pricing, ad spend, agent effort, or other campaigns.</t>
        </is>
      </c>
    </row>
    <row r="20" ht="30" customHeight="1">
      <c r="A20" s="18" t="inlineStr">
        <is>
          <t>• August order dates end on Aug 27 in the supplied extract, while pickup dates extend to Aug 31. This affects a simple July-versus-August order-date comparison.</t>
        </is>
      </c>
    </row>
    <row r="21" ht="30" customHeight="1">
      <c r="A21" s="17" t="inlineStr">
        <is>
          <t>• Before/after change is an association, not proof that the promotion caused the increase. A causal estimate requires a comparable non-promo control group or historical baseline.</t>
        </is>
      </c>
    </row>
    <row r="22" ht="30" customHeight="1">
      <c r="A22" s="18" t="inlineStr">
        <is>
          <t>• Customer contact and email fields are retained only in restricted raw tabs; avoid sharing those tabs externally without removing personal information.</t>
        </is>
      </c>
    </row>
  </sheetData>
  <mergeCells count="19">
    <mergeCell ref="A14:G14"/>
    <mergeCell ref="A17:G17"/>
    <mergeCell ref="A8:G8"/>
    <mergeCell ref="A22:G22"/>
    <mergeCell ref="A4:G4"/>
    <mergeCell ref="A20:G20"/>
    <mergeCell ref="A19:G19"/>
    <mergeCell ref="A10:G10"/>
    <mergeCell ref="A13:G13"/>
    <mergeCell ref="A11:G11"/>
    <mergeCell ref="A1:G1"/>
    <mergeCell ref="A6:G6"/>
    <mergeCell ref="A16:G16"/>
    <mergeCell ref="A7:G7"/>
    <mergeCell ref="A18:G18"/>
    <mergeCell ref="A21:G21"/>
    <mergeCell ref="A12:G12"/>
    <mergeCell ref="A2:G2"/>
    <mergeCell ref="A5:G5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2026-09-02T06:22:02Z</dcterms:created>
  <dcterms:modified xsi:type="dcterms:W3CDTF">2026-09-02T06:22:02Z</dcterms:modified>
</cp:coreProperties>
</file>