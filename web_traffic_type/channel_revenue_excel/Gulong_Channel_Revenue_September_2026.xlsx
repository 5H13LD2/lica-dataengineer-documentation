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Dashboard" sheetId="1" r:id="rId1"/>
    <sheet name="Source Data" sheetId="2" r:id="rId2"/>
    <sheet name="Original Google Ads" sheetId="3" r:id="rId3"/>
    <sheet name="Original Direct Organic" sheetId="4" r:id="rId4"/>
    <sheet name="Original Referral" sheetId="5" r:id="rId5"/>
    <sheet name="Backend Extract" sheetId="6" r:id="rId6"/>
    <sheet name="Exceptions" sheetId="7" r:id="rId7"/>
    <sheet name="Channel Summary" sheetId="8" r:id="rId8"/>
    <sheet name="Weekly Summary" sheetId="9" r:id="rId9"/>
    <sheet name="Customer Type" sheetId="10" r:id="rId10"/>
    <sheet name="Channel Customer Type" sheetId="11" r:id="rId11"/>
    <sheet name="Status Breakdown" sheetId="12" r:id="rId12"/>
    <sheet name="Campaign Breakdown" sheetId="13" r:id="rId13"/>
    <sheet name="Chart Data" sheetId="14" r:id="rId14"/>
    <sheet name="Read Me" sheetId="15" r:id="rId15"/>
  </sheets>
  <definedNames>
    <definedName name="_xlnm._FilterDatabase" localSheetId="12" hidden="1">'Campaign Breakdown'!$A$6:$L$17</definedName>
    <definedName name="_xlnm._FilterDatabase" localSheetId="10" hidden="1">'Channel Customer Type'!$A$6:$M$15</definedName>
    <definedName name="_xlnm._FilterDatabase" localSheetId="7" hidden="1">'Channel Summary'!$A$6:$L$9</definedName>
    <definedName name="_xlnm._FilterDatabase" localSheetId="9" hidden="1">'Customer Type'!$A$6:$L$9</definedName>
    <definedName name="_xlnm._FilterDatabase" localSheetId="11" hidden="1">'Status Breakdown'!$A$6:$M$27</definedName>
    <definedName name="_xlnm._FilterDatabase" localSheetId="8" hidden="1">'Weekly Summary'!$A$6:$M$18</definedName>
    <definedName name="_xlnm.Print_Area" localSheetId="0">'Executive Dashboard'!$A$1:$L$61</definedName>
  </definedNames>
  <calcPr calcId="124519" fullCalcOnLoad="1"/>
</workbook>
</file>

<file path=xl/sharedStrings.xml><?xml version="1.0" encoding="utf-8"?>
<sst xmlns="http://schemas.openxmlformats.org/spreadsheetml/2006/main" count="9977" uniqueCount="1792">
  <si>
    <t>GULONG | CHANNEL REVENUE</t>
  </si>
  <si>
    <t>September 1–24, 2026 • Backend order-date cohorts • Week 4 covers 3 days • Values exclude VAT</t>
  </si>
  <si>
    <t>Channel</t>
  </si>
  <si>
    <t>Session campaign</t>
  </si>
  <si>
    <t>Order ID</t>
  </si>
  <si>
    <t>Order date</t>
  </si>
  <si>
    <t>Week</t>
  </si>
  <si>
    <t>Scope</t>
  </si>
  <si>
    <t>Customer type</t>
  </si>
  <si>
    <t>Customer source</t>
  </si>
  <si>
    <t>Order status</t>
  </si>
  <si>
    <t>Payment status</t>
  </si>
  <si>
    <t>Net sales</t>
  </si>
  <si>
    <t>Fulfilled net revenue</t>
  </si>
  <si>
    <t>Gross order value</t>
  </si>
  <si>
    <t>Fulfilled flag</t>
  </si>
  <si>
    <t>Cancelled flag</t>
  </si>
  <si>
    <t>Open net value</t>
  </si>
  <si>
    <t>Cancelled net value</t>
  </si>
  <si>
    <t>Return refund net value</t>
  </si>
  <si>
    <t>Purchase events</t>
  </si>
  <si>
    <t>Quantity</t>
  </si>
  <si>
    <t>Brand</t>
  </si>
  <si>
    <t>SKU</t>
  </si>
  <si>
    <t>Page path + query string</t>
  </si>
  <si>
    <t>Source file</t>
  </si>
  <si>
    <t>Source CSV row</t>
  </si>
  <si>
    <t>Backend loaded at</t>
  </si>
  <si>
    <t>Backend updated at</t>
  </si>
  <si>
    <t>Test order</t>
  </si>
  <si>
    <t>Google Ads</t>
  </si>
  <si>
    <t>All Brand - PMax PH</t>
  </si>
  <si>
    <t>39773</t>
  </si>
  <si>
    <t>Week 3</t>
  </si>
  <si>
    <t>Included</t>
  </si>
  <si>
    <t>Website</t>
  </si>
  <si>
    <t>New</t>
  </si>
  <si>
    <t>Unpaid</t>
  </si>
  <si>
    <t>YOKOHAMA</t>
  </si>
  <si>
    <t>YOKOHAMA 185/65/R14 BLUEARTH ES32 86H</t>
  </si>
  <si>
    <t>/complete-order?requestid=Mzk3NzM%3D</t>
  </si>
  <si>
    <t>revenue_match/google_cpc.csv</t>
  </si>
  <si>
    <t>2026-09-25 02:00:22</t>
  </si>
  <si>
    <t>2026-09-22T10:55:00</t>
  </si>
  <si>
    <t>false</t>
  </si>
  <si>
    <t>BFG Advantage Touring – PMax PH</t>
  </si>
  <si>
    <t>39143</t>
  </si>
  <si>
    <t>Week 1</t>
  </si>
  <si>
    <t>Fulfilled</t>
  </si>
  <si>
    <t>Fully Paid</t>
  </si>
  <si>
    <t>MICHELIN</t>
  </si>
  <si>
    <t>MICHELIN 265/65/R17 PRIMACY SUV+ 112H</t>
  </si>
  <si>
    <t>/complete-order?requestid=MzkxNDM%3D</t>
  </si>
  <si>
    <t>2026-09-10T15:28:00</t>
  </si>
  <si>
    <t>MICHELIN - PMAX (Traffic)</t>
  </si>
  <si>
    <t>39395</t>
  </si>
  <si>
    <t>Week 2</t>
  </si>
  <si>
    <t>ARIVO</t>
  </si>
  <si>
    <t xml:space="preserve">ARIVO 185/55/R15 PREMIO COMFORT 6 </t>
  </si>
  <si>
    <t>/complete-order?requestid=MzkzOTU%3D</t>
  </si>
  <si>
    <t>2026-09-21T14:40:00</t>
  </si>
  <si>
    <t>Michelin - PMax PH</t>
  </si>
  <si>
    <t>39497</t>
  </si>
  <si>
    <t>CALL</t>
  </si>
  <si>
    <t>MICHELIN 235/50/R18 PRIMACY 5 97W</t>
  </si>
  <si>
    <t>/complete-order?requestid=Mzk0OTc=</t>
  </si>
  <si>
    <t>2026-09-22T11:50:00</t>
  </si>
  <si>
    <t>39507</t>
  </si>
  <si>
    <t>Pending</t>
  </si>
  <si>
    <t>Partial Payment</t>
  </si>
  <si>
    <t>KINTO</t>
  </si>
  <si>
    <t>KINTO 285/40/ZR18 X-68+ 101W</t>
  </si>
  <si>
    <t>/complete-order?requestid=Mzk1MDc%3D</t>
  </si>
  <si>
    <t>2026-09-17T11:10:00</t>
  </si>
  <si>
    <t>39542</t>
  </si>
  <si>
    <t>WESTLAKE</t>
  </si>
  <si>
    <t>WESTLAKE 185/70/R14 RP36</t>
  </si>
  <si>
    <t>/complete-order?requestid=Mzk1NDI%3D</t>
  </si>
  <si>
    <t>2026-09-24T15:02:00</t>
  </si>
  <si>
    <t>39568</t>
  </si>
  <si>
    <t>BFGOODRICH</t>
  </si>
  <si>
    <t>BFGOODRICH 195/50/R16 ADVANTAGE TOURING 88V</t>
  </si>
  <si>
    <t>/complete-order?requestid=Mzk1Njg=</t>
  </si>
  <si>
    <t>2026-09-16T11:15:00</t>
  </si>
  <si>
    <t>SRC | All Brands | PH</t>
  </si>
  <si>
    <t>39570</t>
  </si>
  <si>
    <t>TOYO</t>
  </si>
  <si>
    <t>TOYO 235/60/R18 OPAT3 107H</t>
  </si>
  <si>
    <t>/complete-order?requestid=Mzk1NzA=</t>
  </si>
  <si>
    <t>2026-09-16T11:25:00</t>
  </si>
  <si>
    <t>39581</t>
  </si>
  <si>
    <t>TOYO 275/45/R21 PROXES SPORT PXSP2 110Y</t>
  </si>
  <si>
    <t>/complete-order?requestid=Mzk1ODE=</t>
  </si>
  <si>
    <t>2026-09-17T10:31:00</t>
  </si>
  <si>
    <t>39583</t>
  </si>
  <si>
    <t>/complete-order?requestid=Mzk1ODM=</t>
  </si>
  <si>
    <t>39586</t>
  </si>
  <si>
    <t>MICHELIN 255/45/R20 PILOT SPORT EV 105W</t>
  </si>
  <si>
    <t>/complete-order?requestid=Mzk1ODY=</t>
  </si>
  <si>
    <t>2026-09-22T15:56:00</t>
  </si>
  <si>
    <t>39603</t>
  </si>
  <si>
    <t>HANKOOK</t>
  </si>
  <si>
    <t>HANKOOK 205/55/R16 VENTUS PRIME 4 91W</t>
  </si>
  <si>
    <t>/complete-order?requestid=Mzk2MDM=</t>
  </si>
  <si>
    <t>2026-09-17T10:48:00</t>
  </si>
  <si>
    <t>Gulongph Branding - PMax</t>
  </si>
  <si>
    <t>39608</t>
  </si>
  <si>
    <t>ARIVO 185/60/R15 PREMIO COMFORT 6 88H</t>
  </si>
  <si>
    <t>/complete-order?requestid=Mzk2MDg%3D</t>
  </si>
  <si>
    <t>2026-09-21T13:29:00</t>
  </si>
  <si>
    <t>39623</t>
  </si>
  <si>
    <t>/complete-order?requestid=Mzk2MjM=</t>
  </si>
  <si>
    <t>2026-09-24T15:39:00</t>
  </si>
  <si>
    <t>39665</t>
  </si>
  <si>
    <t>BFGOODRICH 185/55/R15 ADVANTAGE TOURING 86V</t>
  </si>
  <si>
    <t>/complete-order?requestid=Mzk2NjU%3D</t>
  </si>
  <si>
    <t>2026-09-24T14:23:00</t>
  </si>
  <si>
    <t>39677</t>
  </si>
  <si>
    <t>BFGOODRICH 215/45/R17 ADVANTAGE TOURING 91V</t>
  </si>
  <si>
    <t>/complete-order?requestid=Mzk2Nzc=</t>
  </si>
  <si>
    <t>2026-09-21T15:58:00</t>
  </si>
  <si>
    <t>39691</t>
  </si>
  <si>
    <t>Processing</t>
  </si>
  <si>
    <t>MICHELIN 255/40/ZR18 PILOT SPORT 5 99Y XL TL</t>
  </si>
  <si>
    <t>/complete-order?requestid=Mzk2OTE%3D</t>
  </si>
  <si>
    <t>2026-09-23T15:18:00</t>
  </si>
  <si>
    <t>39692</t>
  </si>
  <si>
    <t>BRIDGESTONE</t>
  </si>
  <si>
    <t>BRIDGESTONE 175/65/R14 ECOPIA EP150 82H</t>
  </si>
  <si>
    <t>/complete-order?requestid=Mzk2OTI%3D</t>
  </si>
  <si>
    <t>2026-09-24T09:59:00</t>
  </si>
  <si>
    <t>39705</t>
  </si>
  <si>
    <t>Cancelled</t>
  </si>
  <si>
    <t>BFGOODRICH 175/65/R14 ADVANTAGE TOURING 82H</t>
  </si>
  <si>
    <t>/complete-order?requestid=Mzk3MDU%3D</t>
  </si>
  <si>
    <t>2026-09-22T14:02:00</t>
  </si>
  <si>
    <t>(cross-network)</t>
  </si>
  <si>
    <t>39736</t>
  </si>
  <si>
    <t>YOKOHAMA 185/60/R15 BLUEARTH ES32 84H</t>
  </si>
  <si>
    <t>/complete-order?requestid=Mzk3MzY%3D</t>
  </si>
  <si>
    <t>2026-09-24T14:48:00</t>
  </si>
  <si>
    <t>39738</t>
  </si>
  <si>
    <t>For Return</t>
  </si>
  <si>
    <t>/complete-order?requestid=Mzk3Mzg%3D</t>
  </si>
  <si>
    <t>2026-09-23T10:01:00</t>
  </si>
  <si>
    <t>39816</t>
  </si>
  <si>
    <t>Week 4</t>
  </si>
  <si>
    <t>MICHELIN 185/55/R15 ENERGY XM2+ 86V</t>
  </si>
  <si>
    <t>/complete-order?requestid=Mzk4MTY%3D</t>
  </si>
  <si>
    <t>2026-09-23T11:50:00</t>
  </si>
  <si>
    <t>39835</t>
  </si>
  <si>
    <t>YOKOHAMA 205/65/R16 BLUEARTH E70B 95H</t>
  </si>
  <si>
    <t>/complete-order?requestid=Mzk4MzU%3D</t>
  </si>
  <si>
    <t>2026-09-23T12:15:00</t>
  </si>
  <si>
    <t>39862</t>
  </si>
  <si>
    <t>CST</t>
  </si>
  <si>
    <t>CST 265/60/R18 SAHARA AT 2 110T</t>
  </si>
  <si>
    <t>/complete-order?requestid=Mzk4NjI%3D</t>
  </si>
  <si>
    <t>2026-09-24T12:11:00</t>
  </si>
  <si>
    <t>39870</t>
  </si>
  <si>
    <t>ARIVO 205/65/R15 PREMIO COMFORT 6 94V</t>
  </si>
  <si>
    <t>/complete-order?requestid=Mzk4NzA=</t>
  </si>
  <si>
    <t>2026-09-24T09:27:00</t>
  </si>
  <si>
    <t>39877</t>
  </si>
  <si>
    <t>BFGOODRICH 225/55/R18 ADVANTAGE TOURING 98H</t>
  </si>
  <si>
    <t>/complete-order?requestid=Mzk4Nzc=</t>
  </si>
  <si>
    <t>2026-09-24T10:30:00</t>
  </si>
  <si>
    <t>39878</t>
  </si>
  <si>
    <t>/complete-order?requestid=Mzk4Nzg=</t>
  </si>
  <si>
    <t>2026-09-24T10:29:00</t>
  </si>
  <si>
    <t>39895</t>
  </si>
  <si>
    <t>BFGOODRICH 225/50/R17 ADVANTAGE TOURING 98V</t>
  </si>
  <si>
    <t>/complete-order?requestid=Mzk4OTU=</t>
  </si>
  <si>
    <t>2026-09-24T13:02:00</t>
  </si>
  <si>
    <t>39898</t>
  </si>
  <si>
    <t>CHAT</t>
  </si>
  <si>
    <t>YOKOHAMA 215/60/R17 GEOLANDAR CV G058 96H</t>
  </si>
  <si>
    <t>/complete-order?requestid=Mzk4OTg=</t>
  </si>
  <si>
    <t>2026-09-24T14:46:00</t>
  </si>
  <si>
    <t>39017</t>
  </si>
  <si>
    <t>BFGOODRICH 185/65/R15 ADVANTAGE TOURING 88H</t>
  </si>
  <si>
    <t>/complete-order?requestid=MzkwMTc%3D</t>
  </si>
  <si>
    <t>2026-09-18T09:41:00</t>
  </si>
  <si>
    <t>39032</t>
  </si>
  <si>
    <t>YOKOHAMA 215/55/R16 BLUEARTH GT AE51 97W</t>
  </si>
  <si>
    <t>/complete-order?requestid=MzkwMzI%3D</t>
  </si>
  <si>
    <t>2026-09-18T09:42:00</t>
  </si>
  <si>
    <t>39034</t>
  </si>
  <si>
    <t>HANKOOK 205/55/R17 VENTUS PRIME 4 95V</t>
  </si>
  <si>
    <t>/complete-order?requestid=MzkwMzQ=</t>
  </si>
  <si>
    <t>2026-09-02T14:15:00</t>
  </si>
  <si>
    <t>39035</t>
  </si>
  <si>
    <t>/complete-order?requestid=MzkwMzU=</t>
  </si>
  <si>
    <t>2026-09-02T14:16:00</t>
  </si>
  <si>
    <t>39065</t>
  </si>
  <si>
    <t>DUNLOP</t>
  </si>
  <si>
    <t>DUNLOP 265/50/R20 GRANDTREK PT5 107V</t>
  </si>
  <si>
    <t>/complete-order?requestid=MzkwNjU%3D</t>
  </si>
  <si>
    <t>2026-09-22T11:23:00</t>
  </si>
  <si>
    <t>38959</t>
  </si>
  <si>
    <t>Outside / unknown</t>
  </si>
  <si>
    <t>Outside period</t>
  </si>
  <si>
    <t>MICHELIN 195/60/R16 PRIMACY 5 93V</t>
  </si>
  <si>
    <t>/complete-order?requestid=Mzg5NTk=</t>
  </si>
  <si>
    <t>2026-09-22T16:14:00</t>
  </si>
  <si>
    <t>39158</t>
  </si>
  <si>
    <t>CST 155/80/R13 MARQUIS MR61 79T</t>
  </si>
  <si>
    <t>/complete-order?requestid=MzkxNTg%3D</t>
  </si>
  <si>
    <t>2026-09-11T18:53:00</t>
  </si>
  <si>
    <t>39164</t>
  </si>
  <si>
    <t>HANKOOK 265/50/R20 DYNAPRO AT2 XTREME RF12 111T</t>
  </si>
  <si>
    <t>/complete-order?requestid=MzkxNjQ%3D</t>
  </si>
  <si>
    <t>2026-09-07T13:17:00</t>
  </si>
  <si>
    <t>39166</t>
  </si>
  <si>
    <t>/complete-order?requestid=MzkxNjY%3D</t>
  </si>
  <si>
    <t>2026-09-10T15:23:00</t>
  </si>
  <si>
    <t>39169</t>
  </si>
  <si>
    <t>ARIVO 215/70/R16C TRANSITO ARZ 6-X</t>
  </si>
  <si>
    <t>/complete-order?requestid=MzkxNjk%3D</t>
  </si>
  <si>
    <t>2026-09-10T15:22:00</t>
  </si>
  <si>
    <t>39193</t>
  </si>
  <si>
    <t>ARIVO 175/70/R14 PREMIO COMFORT 6 84T</t>
  </si>
  <si>
    <t>/complete-order?requestid=MzkxOTM%3D</t>
  </si>
  <si>
    <t>2026-09-22T09:40:00</t>
  </si>
  <si>
    <t>39204</t>
  </si>
  <si>
    <t>/complete-order?requestid=MzkyMDQ%3D</t>
  </si>
  <si>
    <t>2026-09-14T08:32:00</t>
  </si>
  <si>
    <t>BFG - PMax (Traffic)</t>
  </si>
  <si>
    <t>39260</t>
  </si>
  <si>
    <t>VREDESTEIN</t>
  </si>
  <si>
    <t>VREDESTEIN 235/55/R17 ULTRAC VORTI I</t>
  </si>
  <si>
    <t>/complete-order?requestid=MzkyNjA=</t>
  </si>
  <si>
    <t>2026-09-09T13:06:00</t>
  </si>
  <si>
    <t>39265</t>
  </si>
  <si>
    <t>BLACK ARROW</t>
  </si>
  <si>
    <t>BLACK ARROW 185/65/R15 SUPER DART P16 88H</t>
  </si>
  <si>
    <t>/complete-order?requestid=MzkyNjU=</t>
  </si>
  <si>
    <t>2026-09-11T11:20:00</t>
  </si>
  <si>
    <t>39301</t>
  </si>
  <si>
    <t>HANKOOK 255/65/R17 DYNAPRO AT2 XTREME RF12 110T</t>
  </si>
  <si>
    <t>/complete-order?requestid=MzkzMDE=</t>
  </si>
  <si>
    <t>2026-09-14T11:23:00</t>
  </si>
  <si>
    <t>39372</t>
  </si>
  <si>
    <t>/complete-order?requestid=MzkzNzI%3D</t>
  </si>
  <si>
    <t>2026-09-11T09:12:00</t>
  </si>
  <si>
    <t>38981</t>
  </si>
  <si>
    <t>/complete-order?requestid=Mzg5ODE%3D</t>
  </si>
  <si>
    <t>2026-09-22T13:17:00</t>
  </si>
  <si>
    <t>38969</t>
  </si>
  <si>
    <t>BFGOODRICH 185/55/R16 ADVANTAGE TOURING 87H</t>
  </si>
  <si>
    <t>/complete-order?requestid=Mzg5Njk=</t>
  </si>
  <si>
    <t>2026-09-18T09:38:00</t>
  </si>
  <si>
    <t>38985</t>
  </si>
  <si>
    <t>MICHELIN 275/60/R20 PRIMACY SUV+ 115H</t>
  </si>
  <si>
    <t>/complete-order?requestid=Mzg5ODU=</t>
  </si>
  <si>
    <t>2026-09-18T09:48:00</t>
  </si>
  <si>
    <t>39468</t>
  </si>
  <si>
    <t>/complete-order?requestid=Mzk0Njg=</t>
  </si>
  <si>
    <t>2026-09-23T16:19:00</t>
  </si>
  <si>
    <t>39471</t>
  </si>
  <si>
    <t>/complete-order?requestid=Mzk0NzE=</t>
  </si>
  <si>
    <t>39589</t>
  </si>
  <si>
    <t>ARIVO 195/60/R16 PREMIO COMFORT 6 89H</t>
  </si>
  <si>
    <t>/complete-order?requestid=Mzk1ODk=</t>
  </si>
  <si>
    <t>2026-09-23T16:17:00</t>
  </si>
  <si>
    <t>39594</t>
  </si>
  <si>
    <t>BFGOODRICH 215/55/R16 ADVANTAGE TOURING 97V</t>
  </si>
  <si>
    <t>/complete-order?requestid=Mzk1OTQ=</t>
  </si>
  <si>
    <t>2026-09-23T16:16:00</t>
  </si>
  <si>
    <t>39601</t>
  </si>
  <si>
    <t>WESTLAKE 165/65/R14 RP18</t>
  </si>
  <si>
    <t>/complete-order?requestid=Mzk2MDE=</t>
  </si>
  <si>
    <t>39602</t>
  </si>
  <si>
    <t>ARIVO 265/60/R18 TERRAMAX ARV PRO A/T</t>
  </si>
  <si>
    <t>/complete-order?requestid=Mzk2MDI=</t>
  </si>
  <si>
    <t>2026-09-17T11:32:00</t>
  </si>
  <si>
    <t>39656</t>
  </si>
  <si>
    <t>BRIDGESTONE 185/55/R16 TURANZA ER370 83H</t>
  </si>
  <si>
    <t>/complete-order?requestid=Mzk2NTY=</t>
  </si>
  <si>
    <t>2026-09-24T10:24:00</t>
  </si>
  <si>
    <t>39813</t>
  </si>
  <si>
    <t>MICHELIN 175/70/R14 ENERGY XM2+ 88T</t>
  </si>
  <si>
    <t>/complete-order?requestid=Mzk4MTM=</t>
  </si>
  <si>
    <t>2026-09-23T16:12:00</t>
  </si>
  <si>
    <t>39023</t>
  </si>
  <si>
    <t>WESTLAKE 305/35/R24 SA57</t>
  </si>
  <si>
    <t>/complete-order?requestid=MzkwMjM=</t>
  </si>
  <si>
    <t>2026-09-22T16:15:00</t>
  </si>
  <si>
    <t>39121</t>
  </si>
  <si>
    <t>FRONWAY</t>
  </si>
  <si>
    <t>FRONWAY 175/65/R14 ECOGREEN ONE 82V</t>
  </si>
  <si>
    <t>/complete-order?requestid=MzkxMjE=</t>
  </si>
  <si>
    <t>2026-09-10T16:31:00</t>
  </si>
  <si>
    <t>39132</t>
  </si>
  <si>
    <t>CHENGSHAN</t>
  </si>
  <si>
    <t>CHENGSHAN 205/55/R16 CSC-802 91V</t>
  </si>
  <si>
    <t>/complete-order?requestid=MzkxMzI=</t>
  </si>
  <si>
    <t>2026-09-23T16:24:00</t>
  </si>
  <si>
    <t>39133</t>
  </si>
  <si>
    <t>LAUFENN</t>
  </si>
  <si>
    <t>LAUFENN 185/55/R16 S FIT EQ 83V</t>
  </si>
  <si>
    <t>/complete-order?requestid=MzkxMzM=</t>
  </si>
  <si>
    <t>2026-09-10T15:08:00</t>
  </si>
  <si>
    <t>39146</t>
  </si>
  <si>
    <t>BFGOODRICH 265/50/R20 ADVANTAGE TOURING 111T</t>
  </si>
  <si>
    <t>/complete-order?requestid=MzkxNDY=</t>
  </si>
  <si>
    <t>39171</t>
  </si>
  <si>
    <t>MICHELIN 215/55/R17 PRIMACY 5 94V</t>
  </si>
  <si>
    <t>/complete-order?requestid=MzkxNzE=</t>
  </si>
  <si>
    <t>2026-09-10T14:38:00</t>
  </si>
  <si>
    <t>39172</t>
  </si>
  <si>
    <t>WESTLAKE 165/70/R14 RP36</t>
  </si>
  <si>
    <t>/complete-order?requestid=MzkxNzI=</t>
  </si>
  <si>
    <t>2026-09-10T15:33:00</t>
  </si>
  <si>
    <t>39213</t>
  </si>
  <si>
    <t>DURATURN</t>
  </si>
  <si>
    <t>DURATURN 195/60/R15 MOZZO ECO D3 88V</t>
  </si>
  <si>
    <t>/complete-order?requestid=MzkyMTM=</t>
  </si>
  <si>
    <t>2026-09-14T15:26:00</t>
  </si>
  <si>
    <t>39219</t>
  </si>
  <si>
    <t>MICHELIN 205/60/R15 ENERGY XM2+ 91V</t>
  </si>
  <si>
    <t>/complete-order?requestid=MzkyMTk=</t>
  </si>
  <si>
    <t>2026-09-23T16:23:00</t>
  </si>
  <si>
    <t>39368</t>
  </si>
  <si>
    <t>ATLAS</t>
  </si>
  <si>
    <t>ATLAS 215/55/R18 A51 95V</t>
  </si>
  <si>
    <t>/complete-order?requestid=MzkzNjg=</t>
  </si>
  <si>
    <t>2026-09-19T14:41:00</t>
  </si>
  <si>
    <t>39396</t>
  </si>
  <si>
    <t>YOKOHAMA 175/65/R14 BLUEARTH ES32 82T</t>
  </si>
  <si>
    <t>/complete-order?requestid=MzkzOTY=</t>
  </si>
  <si>
    <t>2026-09-23T16:21:00</t>
  </si>
  <si>
    <t>39397</t>
  </si>
  <si>
    <t>/complete-order?requestid=MzkzOTc=</t>
  </si>
  <si>
    <t>Direct &amp; Organic</t>
  </si>
  <si>
    <t>(direct)</t>
  </si>
  <si>
    <t>39592</t>
  </si>
  <si>
    <t>BFGOODRICH 245/70/R16 ADVANTAGE TOURING 111T</t>
  </si>
  <si>
    <t>/complete-order?requestid=Mzk1OTI=</t>
  </si>
  <si>
    <t>direct_and_organic_revenue/direct_and_organic.csv</t>
  </si>
  <si>
    <t>(organic)</t>
  </si>
  <si>
    <t>39200</t>
  </si>
  <si>
    <t>Fb</t>
  </si>
  <si>
    <t>ARIVO 215/65/R16 PREMIO COMFORT 6 98H</t>
  </si>
  <si>
    <t>/complete-order?requestid=MzkyMDA=</t>
  </si>
  <si>
    <t>2026-09-23T10:58:00</t>
  </si>
  <si>
    <t>39390</t>
  </si>
  <si>
    <t>DUNLOP 235/60/R17 SP LT30A 109T</t>
  </si>
  <si>
    <t>/complete-order?requestid=MzkzOTA%3D</t>
  </si>
  <si>
    <t>2026-09-19T14:32:00</t>
  </si>
  <si>
    <t>38990</t>
  </si>
  <si>
    <t>WESTLAKE 165/60/R14 RP36</t>
  </si>
  <si>
    <t>/complete-order?requestid=Mzg5OTA=</t>
  </si>
  <si>
    <t>2026-09-23T10:59:00</t>
  </si>
  <si>
    <t>38996</t>
  </si>
  <si>
    <t>WESTLAKE 165/65/R13 RP36</t>
  </si>
  <si>
    <t>/complete-order?requestid=Mzg5OTY=</t>
  </si>
  <si>
    <t>2026-09-22T11:57:00</t>
  </si>
  <si>
    <t>39401</t>
  </si>
  <si>
    <t>APOLLO</t>
  </si>
  <si>
    <t>APOLLO 185/70/R13 AMAZER XP 86H</t>
  </si>
  <si>
    <t>/complete-order?requestid=Mzk0MDE%3D</t>
  </si>
  <si>
    <t>2026-09-12T11:46:00</t>
  </si>
  <si>
    <t>39404</t>
  </si>
  <si>
    <t>YOKOHAMA 205/50/R16 ADVAN FLEVA V701 87V</t>
  </si>
  <si>
    <t>/complete-order?requestid=Mzk0MDQ=</t>
  </si>
  <si>
    <t>2026-09-21T08:39:00</t>
  </si>
  <si>
    <t>39406</t>
  </si>
  <si>
    <t>HANKOOK 185/65/R15 KINERGY ECO2 88T</t>
  </si>
  <si>
    <t>/complete-order?requestid=Mzk0MDY=</t>
  </si>
  <si>
    <t>2026-09-14T17:09:00</t>
  </si>
  <si>
    <t>39407</t>
  </si>
  <si>
    <t>/complete-order?requestid=Mzk0MDc=</t>
  </si>
  <si>
    <t>2026-09-14T16:58:00</t>
  </si>
  <si>
    <t>39409</t>
  </si>
  <si>
    <t>COMFORSER</t>
  </si>
  <si>
    <t>COMFORSER 235/65/R17 CF2000 H/T 108H</t>
  </si>
  <si>
    <t>/complete-order?requestid=Mzk0MDk%3D</t>
  </si>
  <si>
    <t>2026-09-24T15:03:00</t>
  </si>
  <si>
    <t>39417</t>
  </si>
  <si>
    <t>/complete-order?requestid=Mzk0MTc=</t>
  </si>
  <si>
    <t>2026-09-22T11:20:00</t>
  </si>
  <si>
    <t>39433</t>
  </si>
  <si>
    <t>/complete-order?requestid=Mzk0MzM%3D</t>
  </si>
  <si>
    <t>39445</t>
  </si>
  <si>
    <t>APOLLO 205/65/R15 ALNAC 4G 94H</t>
  </si>
  <si>
    <t>/complete-order?requestid=Mzk0NDU%3D</t>
  </si>
  <si>
    <t>2026-09-22T09:22:00</t>
  </si>
  <si>
    <t>39451</t>
  </si>
  <si>
    <t>WESTLAKE 195/60/R16 RP36</t>
  </si>
  <si>
    <t>/complete-order?requestid=Mzk0NTE%3D</t>
  </si>
  <si>
    <t>2026-09-19T16:18:00</t>
  </si>
  <si>
    <t>39455</t>
  </si>
  <si>
    <t>HANKOOK 265/60/R18 DYNAPRO AT2 XTREME RF12 114T</t>
  </si>
  <si>
    <t>/complete-order?requestid=Mzk0NTU=</t>
  </si>
  <si>
    <t>2026-09-24T14:06:00</t>
  </si>
  <si>
    <t>39457</t>
  </si>
  <si>
    <t>MICHELIN 225/45/ZR19 PILOT SPORT 5 96Y XL TL</t>
  </si>
  <si>
    <t>/complete-order?requestid=Mzk0NTc%3D</t>
  </si>
  <si>
    <t>2026-09-19T16:22:00</t>
  </si>
  <si>
    <t>39464</t>
  </si>
  <si>
    <t>WESTLAKE 175/55/R15 RP26</t>
  </si>
  <si>
    <t>/complete-order?requestid=Mzk0NjQ=</t>
  </si>
  <si>
    <t>2026-09-21T11:49:00</t>
  </si>
  <si>
    <t>39476</t>
  </si>
  <si>
    <t>/complete-order?requestid=Mzk0NzY%3D</t>
  </si>
  <si>
    <t>2026-09-14T11:17:00</t>
  </si>
  <si>
    <t>39477</t>
  </si>
  <si>
    <t>/complete-order?requestid=Mzk0Nzc=</t>
  </si>
  <si>
    <t>2026-09-17T13:55:00</t>
  </si>
  <si>
    <t>39482</t>
  </si>
  <si>
    <t>ARIVO 185/55/R16 PREMIO COMFORT 6 83V</t>
  </si>
  <si>
    <t>/complete-order?requestid=Mzk0ODI=</t>
  </si>
  <si>
    <t>39499</t>
  </si>
  <si>
    <t>MICHELIN 185/60/R15 ENERGY XM2+ 88H</t>
  </si>
  <si>
    <t>/complete-order?requestid=Mzk0OTk=</t>
  </si>
  <si>
    <t>2026-09-16T15:08:00</t>
  </si>
  <si>
    <t>39525</t>
  </si>
  <si>
    <t>YOKOHAMA 185/55/R16 BLUEARTH ES32 83V</t>
  </si>
  <si>
    <t>/complete-order?requestid=Mzk1MjU=</t>
  </si>
  <si>
    <t>2026-09-19T20:03:00</t>
  </si>
  <si>
    <t>39531</t>
  </si>
  <si>
    <t>DUNLOP 215/65/R16 ENASAVE EC300+ 98S</t>
  </si>
  <si>
    <t>/complete-order?requestid=Mzk1MzE=</t>
  </si>
  <si>
    <t>2026-09-22T09:06:00</t>
  </si>
  <si>
    <t>39555</t>
  </si>
  <si>
    <t>/complete-order?requestid=Mzk1NTU=</t>
  </si>
  <si>
    <t>2026-09-23T13:46:00</t>
  </si>
  <si>
    <t>39558</t>
  </si>
  <si>
    <t>/complete-order?requestid=Mzk1NTg=</t>
  </si>
  <si>
    <t>2026-09-21T20:10:00</t>
  </si>
  <si>
    <t>39563</t>
  </si>
  <si>
    <t>For Refund</t>
  </si>
  <si>
    <t>BRIDGESTONE 225/45/R19 TURANZA T001 92W</t>
  </si>
  <si>
    <t>/complete-order?requestid=Mzk1NjM%3D</t>
  </si>
  <si>
    <t>2026-09-17T16:57:00</t>
  </si>
  <si>
    <t>39571</t>
  </si>
  <si>
    <t>BFGOODRICH 205/65/R15 ADVANTAGE TOURING 99H</t>
  </si>
  <si>
    <t>/complete-order?requestid=Mzk1NzE=</t>
  </si>
  <si>
    <t>39579</t>
  </si>
  <si>
    <t>HANKOOK 265/65/R17 DYNAPRO AT2 XTREME RF12 112T</t>
  </si>
  <si>
    <t>/complete-order?requestid=Mzk1Nzk%3D</t>
  </si>
  <si>
    <t>2026-09-21T20:23:00</t>
  </si>
  <si>
    <t>39584</t>
  </si>
  <si>
    <t>/complete-order?requestid=Mzk1ODQ=</t>
  </si>
  <si>
    <t>2026-09-17T11:33:00</t>
  </si>
  <si>
    <t>39593</t>
  </si>
  <si>
    <t>/complete-order?requestid=Mzk1OTM=</t>
  </si>
  <si>
    <t>2026-09-17T11:39:00</t>
  </si>
  <si>
    <t>39600</t>
  </si>
  <si>
    <t>/complete-order?requestid=Mzk2MDA=</t>
  </si>
  <si>
    <t>2026-09-21T20:21:00</t>
  </si>
  <si>
    <t>39612</t>
  </si>
  <si>
    <t>ARIVO 175/65/R14 PREMIO COMFORT 6 82H</t>
  </si>
  <si>
    <t>/complete-order?requestid=Mzk2MTI=</t>
  </si>
  <si>
    <t>2026-09-21T15:35:00</t>
  </si>
  <si>
    <t>39616</t>
  </si>
  <si>
    <t>DURATURN 185/55/R15 MOZZO 4S 82V</t>
  </si>
  <si>
    <t>/complete-order?requestid=Mzk2MTY%3D</t>
  </si>
  <si>
    <t>2026-09-24T14:33:00</t>
  </si>
  <si>
    <t>39624</t>
  </si>
  <si>
    <t>BFGOODRICH 205/65/R16 ADVANTAGE TOURING 95H</t>
  </si>
  <si>
    <t>/complete-order?requestid=Mzk2MjQ=</t>
  </si>
  <si>
    <t>39636</t>
  </si>
  <si>
    <t>/complete-order?requestid=Mzk2MzY%3D</t>
  </si>
  <si>
    <t>2026-09-24T14:29:00</t>
  </si>
  <si>
    <t>39645</t>
  </si>
  <si>
    <t>BRIDGESTONE 195/60/R16 ECOPIA EP150 89H</t>
  </si>
  <si>
    <t>/complete-order?requestid=Mzk2NDU=</t>
  </si>
  <si>
    <t>2026-09-24T10:21:00</t>
  </si>
  <si>
    <t>39652</t>
  </si>
  <si>
    <t>WESTLAKE 185/55/R15 RP26</t>
  </si>
  <si>
    <t>/complete-order?requestid=Mzk2NTI=</t>
  </si>
  <si>
    <t>2026-09-23T14:33:00</t>
  </si>
  <si>
    <t>39654</t>
  </si>
  <si>
    <t>LAUFENN 255/45/ZR20 S FIT AS 105 XLW</t>
  </si>
  <si>
    <t>/complete-order?requestid=Mzk2NTQ%3D</t>
  </si>
  <si>
    <t>2026-09-24T10:22:00</t>
  </si>
  <si>
    <t>39667</t>
  </si>
  <si>
    <t>BLACK ARROW 205/55/R16 DART P15 91V</t>
  </si>
  <si>
    <t>/complete-order?requestid=Mzk2Njc=</t>
  </si>
  <si>
    <t>2026-09-18T12:47:00</t>
  </si>
  <si>
    <t>39670</t>
  </si>
  <si>
    <t>MICHELIN 175/65/R14 ENERGY XM2+</t>
  </si>
  <si>
    <t>/complete-order?requestid=Mzk2NzA=</t>
  </si>
  <si>
    <t>2026-09-24T14:31:00</t>
  </si>
  <si>
    <t>39673</t>
  </si>
  <si>
    <t>LAUFENN 205/60/R16 G FIT AS 92V</t>
  </si>
  <si>
    <t>/complete-order?requestid=Mzk2NzM=</t>
  </si>
  <si>
    <t>39679</t>
  </si>
  <si>
    <t>LAUFENN 215/55/R18 S FIT AS 99V</t>
  </si>
  <si>
    <t>/complete-order?requestid=Mzk2Nzk=</t>
  </si>
  <si>
    <t>2026-09-23T13:37:00</t>
  </si>
  <si>
    <t>39698</t>
  </si>
  <si>
    <t>BFGOODRICH 195/60/R16 ADVANTAGE TOURING 89H</t>
  </si>
  <si>
    <t>/complete-order?requestid=Mzk2OTg=</t>
  </si>
  <si>
    <t>2026-09-24T10:07:00</t>
  </si>
  <si>
    <t>39702</t>
  </si>
  <si>
    <t>/complete-order?requestid=Mzk3MDI=</t>
  </si>
  <si>
    <t>2026-09-23T15:19:00</t>
  </si>
  <si>
    <t>39718</t>
  </si>
  <si>
    <t>BFGOODRICH 225/55/R17 ADVANTAGE TOURING 97V</t>
  </si>
  <si>
    <t>/complete-order?requestid=Mzk3MTg%3D</t>
  </si>
  <si>
    <t>2026-09-24T13:34:00</t>
  </si>
  <si>
    <t>39720</t>
  </si>
  <si>
    <t>BFGOODRICH 205/60/R16 ADVANTAGE TOURING 92H</t>
  </si>
  <si>
    <t>/complete-order?requestid=Mzk3MjA=</t>
  </si>
  <si>
    <t>2026-09-23T14:29:00</t>
  </si>
  <si>
    <t>39721</t>
  </si>
  <si>
    <t>MICHELIN 205/55/R17 PRIMACY 5 95W</t>
  </si>
  <si>
    <t>/complete-order?requestid=Mzk3MjE%3D</t>
  </si>
  <si>
    <t>2026-09-24T14:39:00</t>
  </si>
  <si>
    <t>39735</t>
  </si>
  <si>
    <t>/complete-order?requestid=Mzk3MzU=</t>
  </si>
  <si>
    <t>2026-09-23T16:41:00</t>
  </si>
  <si>
    <t>39755</t>
  </si>
  <si>
    <t>WESTLAKE 195/55/R15 SA57</t>
  </si>
  <si>
    <t>/complete-order?requestid=Mzk3NTU=</t>
  </si>
  <si>
    <t>2026-09-23T14:27:00</t>
  </si>
  <si>
    <t>39779</t>
  </si>
  <si>
    <t>/complete-order?requestid=Mzk3Nzk%3D</t>
  </si>
  <si>
    <t>2026-09-23T14:24:00</t>
  </si>
  <si>
    <t>39784</t>
  </si>
  <si>
    <t>/complete-order?requestid=Mzk3ODQ%3D</t>
  </si>
  <si>
    <t>2026-09-22T03:09:00</t>
  </si>
  <si>
    <t>39790</t>
  </si>
  <si>
    <t>/complete-order?requestid=Mzk3OTA%3D</t>
  </si>
  <si>
    <t>2026-09-22T13:55:00</t>
  </si>
  <si>
    <t>39808</t>
  </si>
  <si>
    <t>MICHELIN 185/70/R14 ENERGY XM2+ 88H</t>
  </si>
  <si>
    <t>/complete-order?requestid=Mzk4MDg%3D</t>
  </si>
  <si>
    <t>2026-09-23T16:20:00</t>
  </si>
  <si>
    <t>39819</t>
  </si>
  <si>
    <t>YOKOHAMA 205/45/R17 ADVAN FLEVA V701 88W</t>
  </si>
  <si>
    <t>/complete-order?requestid=Mzk4MTk=</t>
  </si>
  <si>
    <t>2026-09-23T14:22:00</t>
  </si>
  <si>
    <t>39834</t>
  </si>
  <si>
    <t>/complete-order?requestid=Mzk4MzQ%3D</t>
  </si>
  <si>
    <t>2026-09-24T12:53:00</t>
  </si>
  <si>
    <t>39837</t>
  </si>
  <si>
    <t>Chatbot</t>
  </si>
  <si>
    <t>GOODYEAR</t>
  </si>
  <si>
    <t>GOODYEAR 255/55/R20 WRANGLER TERRITORY HT 110V</t>
  </si>
  <si>
    <t>/complete-order?requestid=Mzk4Mzc=</t>
  </si>
  <si>
    <t>2026-09-23T15:24:00</t>
  </si>
  <si>
    <t>39842</t>
  </si>
  <si>
    <t>FRONWAY 215/55/R17 EURUS 08 98W</t>
  </si>
  <si>
    <t>/complete-order?requestid=Mzk4NDI%3D</t>
  </si>
  <si>
    <t>2026-09-23T14:43:00</t>
  </si>
  <si>
    <t>39844</t>
  </si>
  <si>
    <t>CST 225/60/R16 MEDALLION MD-A1 98V</t>
  </si>
  <si>
    <t>/complete-order?requestid=Mzk4NDQ%3D</t>
  </si>
  <si>
    <t>2026-09-24T10:37:00</t>
  </si>
  <si>
    <t>39845</t>
  </si>
  <si>
    <t>BFGOODRICH 215/55/R17 ADVANTAGE TOURING 94V</t>
  </si>
  <si>
    <t>/complete-order?requestid=Mzk4NDU=</t>
  </si>
  <si>
    <t>2026-09-24T09:23:00</t>
  </si>
  <si>
    <t>39860</t>
  </si>
  <si>
    <t>WESTLAKE 215/55/R17 SA37</t>
  </si>
  <si>
    <t>/complete-order?requestid=Mzk4NjA=</t>
  </si>
  <si>
    <t>2026-09-24T11:00:00</t>
  </si>
  <si>
    <t>39865</t>
  </si>
  <si>
    <t>BFGOODRICH 235/60/R18 ADVANTAGE TOURING 103H</t>
  </si>
  <si>
    <t>/complete-order?requestid=Mzk4NjU%3D</t>
  </si>
  <si>
    <t>2026-09-24T11:15:00</t>
  </si>
  <si>
    <t>39891</t>
  </si>
  <si>
    <t>KINTO 235/50/ZR18 PRESTIGE P07 101W</t>
  </si>
  <si>
    <t>/complete-order?requestid=Mzk4OTE%3D</t>
  </si>
  <si>
    <t>39900</t>
  </si>
  <si>
    <t>Unmatched</t>
  </si>
  <si>
    <t>Unknown</t>
  </si>
  <si>
    <t>/complete-order?requestid=Mzk5MDA=</t>
  </si>
  <si>
    <t>39005</t>
  </si>
  <si>
    <t>ARIVO 195/50/R16 ULTRA ARZ5 84V</t>
  </si>
  <si>
    <t>/complete-order?requestid=MzkwMDU=</t>
  </si>
  <si>
    <t>2026-09-18T09:40:00</t>
  </si>
  <si>
    <t>39014</t>
  </si>
  <si>
    <t>/complete-order?requestid=MzkwMTQ%3D</t>
  </si>
  <si>
    <t>2026-09-14T09:54:00</t>
  </si>
  <si>
    <t>39020</t>
  </si>
  <si>
    <t>/complete-order?requestid=MzkwMjA%3D</t>
  </si>
  <si>
    <t>2026-09-18T09:47:00</t>
  </si>
  <si>
    <t>39026</t>
  </si>
  <si>
    <t>LAUFENN 195/60/R15 G FIT AS 88V</t>
  </si>
  <si>
    <t>/complete-order?requestid=MzkwMjY%3D</t>
  </si>
  <si>
    <t>2026-09-22T09:25:00</t>
  </si>
  <si>
    <t>39057</t>
  </si>
  <si>
    <t>/complete-order?requestid=MzkwNTc%3D</t>
  </si>
  <si>
    <t>2026-09-14T15:06:00</t>
  </si>
  <si>
    <t>39063</t>
  </si>
  <si>
    <t>/complete-order?requestid=MzkwNjM%3D</t>
  </si>
  <si>
    <t>39068</t>
  </si>
  <si>
    <t>/complete-order?requestid=MzkwNjg=</t>
  </si>
  <si>
    <t>2026-09-04T14:42:00</t>
  </si>
  <si>
    <t>39090</t>
  </si>
  <si>
    <t>/complete-order?requestid=MzkwOTA=</t>
  </si>
  <si>
    <t>2026-09-22T09:20:00</t>
  </si>
  <si>
    <t>39092</t>
  </si>
  <si>
    <t>BFGOODRICH 225/60/R17 ADVANTAGE TOURING 99H</t>
  </si>
  <si>
    <t>/complete-order?requestid=MzkwOTI%3D</t>
  </si>
  <si>
    <t>2026-09-18T09:46:00</t>
  </si>
  <si>
    <t>39097</t>
  </si>
  <si>
    <t>MICHELIN 225/55/R19 PILOT SPORT 4 SUV 99V</t>
  </si>
  <si>
    <t>/complete-order?requestid=MzkwOTc=</t>
  </si>
  <si>
    <t>2026-09-09T17:34:00</t>
  </si>
  <si>
    <t>39109</t>
  </si>
  <si>
    <t>/complete-order?requestid=MzkxMDk=</t>
  </si>
  <si>
    <t>39112</t>
  </si>
  <si>
    <t>BFGOODRICH 185/60/R15 ADVANTAGE TOURING 84H</t>
  </si>
  <si>
    <t>/complete-order?requestid=MzkxMTI%3D</t>
  </si>
  <si>
    <t>2026-09-10T15:29:00</t>
  </si>
  <si>
    <t>39117</t>
  </si>
  <si>
    <t>MICHELIN 225/55/R18 PRIMACY 5 102V</t>
  </si>
  <si>
    <t>/complete-order?requestid=MzkxMTc=</t>
  </si>
  <si>
    <t>2026-09-04T16:03:00</t>
  </si>
  <si>
    <t>39135</t>
  </si>
  <si>
    <t>/complete-order?requestid=MzkxMzU%3D</t>
  </si>
  <si>
    <t>2026-09-18T09:45:00</t>
  </si>
  <si>
    <t>39136</t>
  </si>
  <si>
    <t>/complete-order?requestid=MzkxMzY%3D</t>
  </si>
  <si>
    <t>39140</t>
  </si>
  <si>
    <t>/complete-order?requestid=MzkxNDA=</t>
  </si>
  <si>
    <t>39152</t>
  </si>
  <si>
    <t>BRIDGESTONE 195/50/R16 TURANZA ER33 84V</t>
  </si>
  <si>
    <t>/complete-order?requestid=MzkxNTI%3D</t>
  </si>
  <si>
    <t>2026-09-09T10:09:00</t>
  </si>
  <si>
    <t>39154</t>
  </si>
  <si>
    <t>/complete-order?requestid=MzkxNTQ=</t>
  </si>
  <si>
    <t>2026-09-07T13:11:00</t>
  </si>
  <si>
    <t>39161</t>
  </si>
  <si>
    <t>FRONWAY 195/50/R15 ECOGREEN ONE 82V</t>
  </si>
  <si>
    <t>/complete-order?requestid=MzkxNjE%3D</t>
  </si>
  <si>
    <t>2026-09-10T15:25:00</t>
  </si>
  <si>
    <t>39179</t>
  </si>
  <si>
    <t>BFGOODRICH 225/45/R17 ADVANTAGE TOURING 94V</t>
  </si>
  <si>
    <t>/complete-order?requestid=MzkxNzk=</t>
  </si>
  <si>
    <t>2026-09-22T09:56:00</t>
  </si>
  <si>
    <t>39186</t>
  </si>
  <si>
    <t>/complete-order?requestid=MzkxODY=</t>
  </si>
  <si>
    <t>39189</t>
  </si>
  <si>
    <t>BRIDGESTONE 265/65/R17 DUELER H/T 684 (RBT) 112S</t>
  </si>
  <si>
    <t>/complete-order?requestid=MzkxODk=</t>
  </si>
  <si>
    <t>2026-09-18T09:52:00</t>
  </si>
  <si>
    <t>38805</t>
  </si>
  <si>
    <t>/complete-order?requestid=Mzg4MDU=</t>
  </si>
  <si>
    <t>2026-09-18T09:53:00</t>
  </si>
  <si>
    <t>38970</t>
  </si>
  <si>
    <t>MICHELIN 185/60/R14 ENERGY XM2+ 82H</t>
  </si>
  <si>
    <t>/complete-order?requestid=Mzg5NzA=</t>
  </si>
  <si>
    <t>39203</t>
  </si>
  <si>
    <t>BFGOODRICH 265/60/R18 ALL-TERRAIN T/A KO3 114/110S</t>
  </si>
  <si>
    <t>/complete-order?requestid=MzkyMDM=</t>
  </si>
  <si>
    <t>2026-09-23T10:14:00</t>
  </si>
  <si>
    <t>39212</t>
  </si>
  <si>
    <t>/complete-order?requestid=MzkyMTI=</t>
  </si>
  <si>
    <t>2026-09-22T11:25:00</t>
  </si>
  <si>
    <t>39230</t>
  </si>
  <si>
    <t>/complete-order?requestid=MzkyMzA=</t>
  </si>
  <si>
    <t>2026-09-22T11:29:00</t>
  </si>
  <si>
    <t>39233</t>
  </si>
  <si>
    <t>YOKOHAMA 255/70/R16 GEOLANDAR H/T4 G062 115T</t>
  </si>
  <si>
    <t>/complete-order?requestid=MzkyMzM=</t>
  </si>
  <si>
    <t>2026-09-12T10:48:00</t>
  </si>
  <si>
    <t>39242</t>
  </si>
  <si>
    <t>/complete-order?requestid=MzkyNDI=</t>
  </si>
  <si>
    <t>2026-09-08T13:55:00</t>
  </si>
  <si>
    <t>39246</t>
  </si>
  <si>
    <t>/complete-order?requestid=MzkyNDY%3D</t>
  </si>
  <si>
    <t>2026-09-11T18:55:00</t>
  </si>
  <si>
    <t>39254</t>
  </si>
  <si>
    <t>BFGOODRICH 265/65/R17 ADVANTAGE TOURING 112H</t>
  </si>
  <si>
    <t>/complete-order?requestid=MzkyNTQ%3D</t>
  </si>
  <si>
    <t>2026-09-12T11:20:00</t>
  </si>
  <si>
    <t>39256</t>
  </si>
  <si>
    <t>/complete-order?requestid=MzkyNTY=</t>
  </si>
  <si>
    <t>2026-09-24T11:18:00</t>
  </si>
  <si>
    <t>39263</t>
  </si>
  <si>
    <t>/complete-order?requestid=MzkyNjM=</t>
  </si>
  <si>
    <t>2026-09-09T13:04:00</t>
  </si>
  <si>
    <t>39264</t>
  </si>
  <si>
    <t>/complete-order?requestid=MzkyNjQ=</t>
  </si>
  <si>
    <t>39282</t>
  </si>
  <si>
    <t>MICHELIN 225/50/R18 PRIMACY 5 ENERGY 99W</t>
  </si>
  <si>
    <t>/complete-order?requestid=MzkyODI=</t>
  </si>
  <si>
    <t>2026-09-14T15:04:00</t>
  </si>
  <si>
    <t>39286</t>
  </si>
  <si>
    <t>/complete-order?requestid=MzkyODY%3D</t>
  </si>
  <si>
    <t>2026-09-22T10:51:00</t>
  </si>
  <si>
    <t>39289</t>
  </si>
  <si>
    <t>YOKOHAMA 165/65/R14 BLUEARTH ES32 79T</t>
  </si>
  <si>
    <t>/complete-order?requestid=MzkyODk%3D</t>
  </si>
  <si>
    <t>2026-09-24T15:04:00</t>
  </si>
  <si>
    <t>39304</t>
  </si>
  <si>
    <t>MICHELIN 205/65/R16 PRIMACY 5 95W</t>
  </si>
  <si>
    <t>/complete-order?requestid=MzkzMDQ%3D</t>
  </si>
  <si>
    <t>2026-09-14T13:38:00</t>
  </si>
  <si>
    <t>39309</t>
  </si>
  <si>
    <t>LINGLONG</t>
  </si>
  <si>
    <t>LINGLONG 215/60/R17 COMFORT MASTER 96H</t>
  </si>
  <si>
    <t>/complete-order?requestid=MzkzMDk%3D</t>
  </si>
  <si>
    <t>2026-09-21T08:32:00</t>
  </si>
  <si>
    <t>39310</t>
  </si>
  <si>
    <t>BRIDGESTONE 205/65/R16 ECOPIA EP300 95V</t>
  </si>
  <si>
    <t>/complete-order?requestid=MzkzMTA=</t>
  </si>
  <si>
    <t>2026-09-14T11:36:00</t>
  </si>
  <si>
    <t>39345</t>
  </si>
  <si>
    <t>/complete-order?requestid=MzkzNDU=</t>
  </si>
  <si>
    <t>2026-09-14T09:24:00</t>
  </si>
  <si>
    <t>39349</t>
  </si>
  <si>
    <t>YOKOHAMA 195/55/R15 ADVAN FLEVA V701 85V</t>
  </si>
  <si>
    <t>/complete-order?requestid=MzkzNDk%3D</t>
  </si>
  <si>
    <t>2026-09-14T11:26:00</t>
  </si>
  <si>
    <t>39350</t>
  </si>
  <si>
    <t>/complete-order?requestid=MzkzNTA=</t>
  </si>
  <si>
    <t>2026-09-11T11:18:00</t>
  </si>
  <si>
    <t>39354</t>
  </si>
  <si>
    <t>BFGOODRICH 205/50/R17 ADVANTAGE TOURING 93V</t>
  </si>
  <si>
    <t>/complete-order?requestid=MzkzNTQ%3D</t>
  </si>
  <si>
    <t>2026-09-22T09:45:00</t>
  </si>
  <si>
    <t>39363</t>
  </si>
  <si>
    <t>WESTLAKE 235/45/ZR19 SUPERIDE 1</t>
  </si>
  <si>
    <t>/complete-order?requestid=MzkzNjM=</t>
  </si>
  <si>
    <t>2026-09-19T14:45:00</t>
  </si>
  <si>
    <t>39377</t>
  </si>
  <si>
    <t>LAUFENN 225/60/R18 S FIT AS 100V</t>
  </si>
  <si>
    <t>/complete-order?requestid=MzkzNzc=</t>
  </si>
  <si>
    <t>2026-09-14T13:33:00</t>
  </si>
  <si>
    <t>39202</t>
  </si>
  <si>
    <t>/complete-order?requestid=MzkyMDI=</t>
  </si>
  <si>
    <t>2026-09-22T11:36:00</t>
  </si>
  <si>
    <t>38967</t>
  </si>
  <si>
    <t>VREDESTEIN 265/60/R18 PINZA AT 110H</t>
  </si>
  <si>
    <t>/complete-order?requestid=Mzg5Njc=</t>
  </si>
  <si>
    <t>2026-09-07T15:52:00</t>
  </si>
  <si>
    <t>38993</t>
  </si>
  <si>
    <t>/complete-order?requestid=Mzg5OTM=</t>
  </si>
  <si>
    <t>2026-09-23T16:30:00</t>
  </si>
  <si>
    <t>38997</t>
  </si>
  <si>
    <t>/complete-order?requestid=Mzg5OTc=</t>
  </si>
  <si>
    <t>2026-09-23T16:26:00</t>
  </si>
  <si>
    <t>39411</t>
  </si>
  <si>
    <t>/complete-order?requestid=Mzk0MTE=</t>
  </si>
  <si>
    <t>2026-09-22T11:30:00</t>
  </si>
  <si>
    <t>39422</t>
  </si>
  <si>
    <t>MICHELIN 185/55/R16 ENERGY XM2+ 83V</t>
  </si>
  <si>
    <t>/complete-order?requestid=Mzk0MjI=</t>
  </si>
  <si>
    <t>39423</t>
  </si>
  <si>
    <t>/complete-order?requestid=Mzk0MjM=</t>
  </si>
  <si>
    <t>39424</t>
  </si>
  <si>
    <t>/complete-order?requestid=Mzk0MjQ=</t>
  </si>
  <si>
    <t>39454</t>
  </si>
  <si>
    <t>FRONWAY 185/55/R15 ECOGREEN ONE 82V</t>
  </si>
  <si>
    <t>/complete-order?requestid=Mzk0NTQ=</t>
  </si>
  <si>
    <t>39465</t>
  </si>
  <si>
    <t>/complete-order?requestid=Mzk0NjU=</t>
  </si>
  <si>
    <t>39474</t>
  </si>
  <si>
    <t>VREDESTEIN 215/75/R15 PINZA AT</t>
  </si>
  <si>
    <t>/complete-order?requestid=Mzk0NzQ=</t>
  </si>
  <si>
    <t>39479</t>
  </si>
  <si>
    <t>/complete-order?requestid=Mzk0Nzk=</t>
  </si>
  <si>
    <t>39487</t>
  </si>
  <si>
    <t>BFGOODRICH 215/50/R17 ADVANTAGE TOURING 95V</t>
  </si>
  <si>
    <t>/complete-order?requestid=Mzk0ODc=</t>
  </si>
  <si>
    <t>2026-09-22T11:43:00</t>
  </si>
  <si>
    <t>39564</t>
  </si>
  <si>
    <t>/complete-order?requestid=Mzk1NjQ=</t>
  </si>
  <si>
    <t>2026-09-23T16:18:00</t>
  </si>
  <si>
    <t>39575</t>
  </si>
  <si>
    <t>HANKOOK 185/55/R15 KINERGY ECO2 82H</t>
  </si>
  <si>
    <t>/complete-order?requestid=Mzk1NzU=</t>
  </si>
  <si>
    <t>2026-09-18T16:23:00</t>
  </si>
  <si>
    <t>39580</t>
  </si>
  <si>
    <t>/complete-order?requestid=Mzk1ODA=</t>
  </si>
  <si>
    <t>39591</t>
  </si>
  <si>
    <t>/complete-order?requestid=Mzk1OTE=</t>
  </si>
  <si>
    <t>39639</t>
  </si>
  <si>
    <t>/complete-order?requestid=Mzk2Mzk=</t>
  </si>
  <si>
    <t>2026-09-24T15:41:00</t>
  </si>
  <si>
    <t>39642</t>
  </si>
  <si>
    <t>/complete-order?requestid=Mzk2NDI=</t>
  </si>
  <si>
    <t>39680</t>
  </si>
  <si>
    <t>HANKOOK 195/60/R16 KINERGY ECO2 89H</t>
  </si>
  <si>
    <t>/complete-order?requestid=Mzk2ODA=</t>
  </si>
  <si>
    <t>2026-09-22T13:33:00</t>
  </si>
  <si>
    <t>39727</t>
  </si>
  <si>
    <t>/complete-order?requestid=Mzk3Mjc=</t>
  </si>
  <si>
    <t>2026-09-23T16:15:00</t>
  </si>
  <si>
    <t>39749</t>
  </si>
  <si>
    <t>MICHELIN 205/55/R16 ENERGY XM2+ 91V</t>
  </si>
  <si>
    <t>/complete-order?requestid=Mzk3NDk=</t>
  </si>
  <si>
    <t>2026-09-23T16:14:00</t>
  </si>
  <si>
    <t>39780</t>
  </si>
  <si>
    <t>MICHELIN 265/50/R20 PILOT SPORT 4 SUV 107V</t>
  </si>
  <si>
    <t>/complete-order?requestid=Mzk3ODA=</t>
  </si>
  <si>
    <t>2026-09-23T10:26:00</t>
  </si>
  <si>
    <t>39781</t>
  </si>
  <si>
    <t>/complete-order?requestid=Mzk3ODE=</t>
  </si>
  <si>
    <t>2026-09-23T10:22:00</t>
  </si>
  <si>
    <t>39829</t>
  </si>
  <si>
    <t>HANKOOK 265/70/R16 DYNAPRO HT2 RH14 112T</t>
  </si>
  <si>
    <t>/complete-order?requestid=Mzk4Mjk=</t>
  </si>
  <si>
    <t>2026-09-23T11:34:00</t>
  </si>
  <si>
    <t>39859</t>
  </si>
  <si>
    <t>/complete-order?requestid=Mzk4NTk=</t>
  </si>
  <si>
    <t>39863</t>
  </si>
  <si>
    <t>COMFORSER 205/55/R17 CF710 95W</t>
  </si>
  <si>
    <t>/complete-order?requestid=Mzk4NjM=</t>
  </si>
  <si>
    <t>2026-09-24T09:40:00</t>
  </si>
  <si>
    <t>39894</t>
  </si>
  <si>
    <t>YOKOHAMA 185/70/R14 BLUEARTH ES32 88H</t>
  </si>
  <si>
    <t>/complete-order?requestid=Mzk4OTQ=</t>
  </si>
  <si>
    <t>2026-09-24T13:37:00</t>
  </si>
  <si>
    <t>39004</t>
  </si>
  <si>
    <t>/complete-order?requestid=MzkwMDQ=</t>
  </si>
  <si>
    <t>2026-09-10T16:35:00</t>
  </si>
  <si>
    <t>39012</t>
  </si>
  <si>
    <t>YOKOHAMA 205/65/R15 BLUEARTH ES32 94H</t>
  </si>
  <si>
    <t>/complete-order?requestid=MzkwMTI=</t>
  </si>
  <si>
    <t>39015</t>
  </si>
  <si>
    <t>ARIVO 205/50/R16 PREMIO SPORT 6 91W</t>
  </si>
  <si>
    <t>/complete-order?requestid=MzkwMTU=</t>
  </si>
  <si>
    <t>39018</t>
  </si>
  <si>
    <t>COMFORSER 185/60/R15 CF510 84H</t>
  </si>
  <si>
    <t>/complete-order?requestid=MzkwMTg=</t>
  </si>
  <si>
    <t>2026-09-23T16:25:00</t>
  </si>
  <si>
    <t>39042</t>
  </si>
  <si>
    <t>ARIVO 175/55/R15 PREMIO COMFORT 6</t>
  </si>
  <si>
    <t>/complete-order?requestid=MzkwNDI=</t>
  </si>
  <si>
    <t>2026-09-18T09:39:00</t>
  </si>
  <si>
    <t>39052</t>
  </si>
  <si>
    <t>/complete-order?requestid=MzkwNTI=</t>
  </si>
  <si>
    <t>39053</t>
  </si>
  <si>
    <t>BRIDGESTONE 205/50/R17 TURANZA T005A</t>
  </si>
  <si>
    <t>/complete-order?requestid=MzkwNTM=</t>
  </si>
  <si>
    <t>39061</t>
  </si>
  <si>
    <t>HANKOOK 215/55/R17 VENTUS PRIME 4 94W</t>
  </si>
  <si>
    <t>/complete-order?requestid=MzkwNjE=</t>
  </si>
  <si>
    <t>39066</t>
  </si>
  <si>
    <t>/complete-order?requestid=MzkwNjY=</t>
  </si>
  <si>
    <t>39071</t>
  </si>
  <si>
    <t>/complete-order?requestid=MzkwNzE=</t>
  </si>
  <si>
    <t>2026-09-10T16:27:00</t>
  </si>
  <si>
    <t>39081</t>
  </si>
  <si>
    <t>LAUFENN 225/65/R17 X FIT HT 102T</t>
  </si>
  <si>
    <t>/complete-order?requestid=MzkwODE=</t>
  </si>
  <si>
    <t>39085</t>
  </si>
  <si>
    <t>BFGOODRICH 195/55/R15 ADVANTAGE TOURING 89V</t>
  </si>
  <si>
    <t>/complete-order?requestid=MzkwODU=</t>
  </si>
  <si>
    <t>39088</t>
  </si>
  <si>
    <t>/complete-order?requestid=MzkwODg=</t>
  </si>
  <si>
    <t>39124</t>
  </si>
  <si>
    <t>/complete-order?requestid=MzkxMjQ=</t>
  </si>
  <si>
    <t>39129</t>
  </si>
  <si>
    <t>/complete-order?requestid=MzkxMjk=</t>
  </si>
  <si>
    <t>2026-09-10T15:09:00</t>
  </si>
  <si>
    <t>39131</t>
  </si>
  <si>
    <t>ARIVO 235/60/R18 TERRANO ARV H/T 107H</t>
  </si>
  <si>
    <t>/complete-order?requestid=MzkxMzE=</t>
  </si>
  <si>
    <t>39148</t>
  </si>
  <si>
    <t>/complete-order?requestid=MzkxNDg=</t>
  </si>
  <si>
    <t>39151</t>
  </si>
  <si>
    <t>/complete-order?requestid=MzkxNTE=</t>
  </si>
  <si>
    <t>39160</t>
  </si>
  <si>
    <t>/complete-order?requestid=MzkxNjA=</t>
  </si>
  <si>
    <t>39201</t>
  </si>
  <si>
    <t>WESTLAKE 185/65/R15 RP36</t>
  </si>
  <si>
    <t>/complete-order?requestid=MzkyMDE=</t>
  </si>
  <si>
    <t>2026-09-14T15:22:00</t>
  </si>
  <si>
    <t>39217</t>
  </si>
  <si>
    <t>MICHELIN 225/50/R18 PRIMACY 5 99W</t>
  </si>
  <si>
    <t>/complete-order?requestid=MzkyMTc=</t>
  </si>
  <si>
    <t>39220</t>
  </si>
  <si>
    <t>/complete-order?requestid=MzkyMjA=</t>
  </si>
  <si>
    <t>39226</t>
  </si>
  <si>
    <t>MICHELIN 255/55/R20 PRIMACY 5 110V</t>
  </si>
  <si>
    <t>/complete-order?requestid=MzkyMjY=</t>
  </si>
  <si>
    <t>2026-09-23T16:22:00</t>
  </si>
  <si>
    <t>39257</t>
  </si>
  <si>
    <t>WESTLAKE 265/50/R20 SA37</t>
  </si>
  <si>
    <t>/complete-order?requestid=MzkyNTc=</t>
  </si>
  <si>
    <t>39278</t>
  </si>
  <si>
    <t>WESTLAKE 235/55/R18 SU318</t>
  </si>
  <si>
    <t>/complete-order?requestid=MzkyNzg=</t>
  </si>
  <si>
    <t>39299</t>
  </si>
  <si>
    <t>MICHELIN 205/55/R16 PRIMACY 5 91W</t>
  </si>
  <si>
    <t>/complete-order?requestid=MzkyOTk=</t>
  </si>
  <si>
    <t>2026-09-12T13:11:00</t>
  </si>
  <si>
    <t>39308</t>
  </si>
  <si>
    <t>/complete-order?requestid=MzkzMDg=</t>
  </si>
  <si>
    <t>39315</t>
  </si>
  <si>
    <t>/complete-order?requestid=MzkzMTU=</t>
  </si>
  <si>
    <t>39318</t>
  </si>
  <si>
    <t>MICHELIN 225/65/R17 PRIMACY SUV+ 106H</t>
  </si>
  <si>
    <t>/complete-order?requestid=MzkzMTg=</t>
  </si>
  <si>
    <t>39338</t>
  </si>
  <si>
    <t>BRIDGESTONE 215/55/R17 TURANZA ER33 94V</t>
  </si>
  <si>
    <t>/complete-order?requestid=MzkzMzg=</t>
  </si>
  <si>
    <t>2026-09-16T13:09:00</t>
  </si>
  <si>
    <t>39351</t>
  </si>
  <si>
    <t>FRONWAY 265/65/R17 ROCKBLADE AT II 112/T</t>
  </si>
  <si>
    <t>/complete-order?requestid=MzkzNTE=</t>
  </si>
  <si>
    <t>2026-09-14T14:07:00</t>
  </si>
  <si>
    <t>39361</t>
  </si>
  <si>
    <t>/complete-order?requestid=MzkzNjE=</t>
  </si>
  <si>
    <t>39379</t>
  </si>
  <si>
    <t>/complete-order?requestid=MzkzNzk=</t>
  </si>
  <si>
    <t>2026-09-22T09:10:00</t>
  </si>
  <si>
    <t>39382</t>
  </si>
  <si>
    <t>/complete-order?requestid=MzkzODI=</t>
  </si>
  <si>
    <t>2026-09-12T13:10:00</t>
  </si>
  <si>
    <t>Referral</t>
  </si>
  <si>
    <t>(referral)</t>
  </si>
  <si>
    <t>39448</t>
  </si>
  <si>
    <t>FRONWAY 205/55/ZR17 EURUS 08 95W</t>
  </si>
  <si>
    <t>/complete-order?requestid=Mzk0NDg%3D</t>
  </si>
  <si>
    <t>referral_revenue/referral.csv</t>
  </si>
  <si>
    <t>2026-09-14T11:20:00</t>
  </si>
  <si>
    <t>39460</t>
  </si>
  <si>
    <t>/complete-order?requestid=Mzk0NjA=</t>
  </si>
  <si>
    <t>2026-09-13T10:54:00</t>
  </si>
  <si>
    <t>39485</t>
  </si>
  <si>
    <t>WESTLAKE 205/60/R16 RP36</t>
  </si>
  <si>
    <t>/complete-order?requestid=Mzk0ODU%3D</t>
  </si>
  <si>
    <t>2026-09-21T12:27:00</t>
  </si>
  <si>
    <t>39490</t>
  </si>
  <si>
    <t>RADAR</t>
  </si>
  <si>
    <t>RADAR 175/65/R14 RIVERA PRO2 82H</t>
  </si>
  <si>
    <t>/complete-order?requestid=Mzk0OTA%3D</t>
  </si>
  <si>
    <t>2026-09-24T15:14:00</t>
  </si>
  <si>
    <t>39723</t>
  </si>
  <si>
    <t>BFGOODRICH 215/65/R16 ADVANTAGE TOURING 98T</t>
  </si>
  <si>
    <t>/complete-order?requestid=Mzk3MjM%3D</t>
  </si>
  <si>
    <t>2026-09-24T14:44:00</t>
  </si>
  <si>
    <t>39075</t>
  </si>
  <si>
    <t>MICHELIN 235/60/R18 PILOT SPORT 4 SUV 107W</t>
  </si>
  <si>
    <t>/complete-order?requestid=MzkwNzU%3D</t>
  </si>
  <si>
    <t>2026-09-08T21:07:00</t>
  </si>
  <si>
    <t>39101</t>
  </si>
  <si>
    <t>/complete-order?requestid=MzkxMDE%3D</t>
  </si>
  <si>
    <t>39125</t>
  </si>
  <si>
    <t>GOODYEAR 205/50/R17 ASSURANCE TRIPLEMAX 2 89V</t>
  </si>
  <si>
    <t>/complete-order?requestid=MzkxMjU=</t>
  </si>
  <si>
    <t>2026-09-07T13:10:00</t>
  </si>
  <si>
    <t>39293</t>
  </si>
  <si>
    <t>/complete-order?requestid=MzkyOTM%3D</t>
  </si>
  <si>
    <t>2026-09-22T09:19:00</t>
  </si>
  <si>
    <t>39364</t>
  </si>
  <si>
    <t>/complete-order?requestid=MzkzNjQ%3D</t>
  </si>
  <si>
    <t>2026-09-24T15:19:00</t>
  </si>
  <si>
    <t>39369</t>
  </si>
  <si>
    <t>/complete-order?requestid=MzkzNjk=</t>
  </si>
  <si>
    <t>39684</t>
  </si>
  <si>
    <t>/complete-order?requestid=Mzk2ODQ=</t>
  </si>
  <si>
    <t>39551</t>
  </si>
  <si>
    <t>RADAR 275/35/R21 DIMAX SPORT EV-C 103Y</t>
  </si>
  <si>
    <t>/complete-order?requestid=Mzk1NTE=</t>
  </si>
  <si>
    <t>2026-09-22T15:54:00</t>
  </si>
  <si>
    <t>39655</t>
  </si>
  <si>
    <t>FRONWAY 165/65/R13 ECOGREEN ONE 77T</t>
  </si>
  <si>
    <t>/complete-order?requestid=Mzk2NTU=</t>
  </si>
  <si>
    <t>2026-09-24T14:26:00</t>
  </si>
  <si>
    <t>39528</t>
  </si>
  <si>
    <t>WESTLAKE 165/80/R13 RP26</t>
  </si>
  <si>
    <t>/complete-order?requestid=Mzk1Mjg=</t>
  </si>
  <si>
    <t>39686</t>
  </si>
  <si>
    <t>/complete-order?requestid=Mzk2ODY=</t>
  </si>
  <si>
    <t>39751</t>
  </si>
  <si>
    <t>ARIVO 185/65/R15 PREMIO COMFORT 6 88H</t>
  </si>
  <si>
    <t>/complete-order?requestid=Mzk3NTE=</t>
  </si>
  <si>
    <t>39758</t>
  </si>
  <si>
    <t>COMFORSER 215/55/R17 CF710 94V</t>
  </si>
  <si>
    <t>/complete-order?requestid=Mzk3NTg=</t>
  </si>
  <si>
    <t>2026-09-23T16:29:00</t>
  </si>
  <si>
    <t>39795</t>
  </si>
  <si>
    <t>MICHELIN 215/65/R16 ENERGY XM2+ 98H</t>
  </si>
  <si>
    <t>/complete-order?requestid=Mzk3OTU=</t>
  </si>
  <si>
    <t>2026-09-23T10:21:00</t>
  </si>
  <si>
    <t>39840</t>
  </si>
  <si>
    <t>/complete-order?requestid=Mzk4NDA=</t>
  </si>
  <si>
    <t>39006</t>
  </si>
  <si>
    <t>WESTLAKE 185/70/R13 RP36</t>
  </si>
  <si>
    <t>/complete-order?requestid=MzkwMDY=</t>
  </si>
  <si>
    <t>39011</t>
  </si>
  <si>
    <t>CHENGSHAN 175/70/R14 CSC-802 84H</t>
  </si>
  <si>
    <t>/complete-order?requestid=MzkwMTE=</t>
  </si>
  <si>
    <t>2026-09-10T16:33:00</t>
  </si>
  <si>
    <t>39248</t>
  </si>
  <si>
    <t>/complete-order?requestid=MzkyNDg=</t>
  </si>
  <si>
    <t>2026-09-16T15:07:00</t>
  </si>
  <si>
    <t>39280</t>
  </si>
  <si>
    <t>WESTLAKE 185/60/R15 RP36</t>
  </si>
  <si>
    <t>/complete-order?requestid=MzkyODA=</t>
  </si>
  <si>
    <t>2026-09-12T13:12:00</t>
  </si>
  <si>
    <t>39314</t>
  </si>
  <si>
    <t>/complete-order?requestid=MzkzMTQ=</t>
  </si>
  <si>
    <t>39325</t>
  </si>
  <si>
    <t>CHENGSHAN 205/55/R17 CSC-701 95V</t>
  </si>
  <si>
    <t>/complete-order?requestid=MzkzMjU=</t>
  </si>
  <si>
    <t>39341</t>
  </si>
  <si>
    <t>MICHELIN 235/50/R21 PILOT SPORT 4 SUV 101W</t>
  </si>
  <si>
    <t>/complete-order?requestid=MzkzNDE=</t>
  </si>
  <si>
    <t>39392</t>
  </si>
  <si>
    <t>/complete-order?requestid=MzkzOTI=</t>
  </si>
  <si>
    <t>Ecommerce purchases</t>
  </si>
  <si>
    <t>4</t>
  </si>
  <si>
    <t>2</t>
  </si>
  <si>
    <t>1</t>
  </si>
  <si>
    <t>3</t>
  </si>
  <si>
    <t>_ingest_loaded_at</t>
  </si>
  <si>
    <t>brand</t>
  </si>
  <si>
    <t>customer_source_raw</t>
  </si>
  <si>
    <t>customer_type_norm</t>
  </si>
  <si>
    <t>customer_type_raw</t>
  </si>
  <si>
    <t>date_updated</t>
  </si>
  <si>
    <t>gross_sales_amount</t>
  </si>
  <si>
    <t>is_excluded_test_order</t>
  </si>
  <si>
    <t>is_fulfilled_order</t>
  </si>
  <si>
    <t>is_fulfillment_success_order</t>
  </si>
  <si>
    <t>is_non_cancelled_order</t>
  </si>
  <si>
    <t>net_sales_amount</t>
  </si>
  <si>
    <t>order_date</t>
  </si>
  <si>
    <t>order_id</t>
  </si>
  <si>
    <t>order_status_raw</t>
  </si>
  <si>
    <t>payment_status_raw</t>
  </si>
  <si>
    <t>quantity_int</t>
  </si>
  <si>
    <t>sku</t>
  </si>
  <si>
    <t>fb</t>
  </si>
  <si>
    <t>60675</t>
  </si>
  <si>
    <t>true</t>
  </si>
  <si>
    <t>54174.11</t>
  </si>
  <si>
    <t>2026-08-26T14:54:00</t>
  </si>
  <si>
    <t>website</t>
  </si>
  <si>
    <t>30300</t>
  </si>
  <si>
    <t>27053.57</t>
  </si>
  <si>
    <t>2026-08-31T18:55:00</t>
  </si>
  <si>
    <t>29175</t>
  </si>
  <si>
    <t>26049.11</t>
  </si>
  <si>
    <t>2026-09-01T10:13:00</t>
  </si>
  <si>
    <t>6945.6</t>
  </si>
  <si>
    <t>6201.43</t>
  </si>
  <si>
    <t>2026-09-01T10:39:00</t>
  </si>
  <si>
    <t>20190</t>
  </si>
  <si>
    <t>18026.79</t>
  </si>
  <si>
    <t>2026-09-01T10:49:00</t>
  </si>
  <si>
    <t>10644.6</t>
  </si>
  <si>
    <t>9504.11</t>
  </si>
  <si>
    <t>2026-09-01T12:52:00</t>
  </si>
  <si>
    <t>64140</t>
  </si>
  <si>
    <t>57267.86</t>
  </si>
  <si>
    <t>2026-09-01T13:26:00</t>
  </si>
  <si>
    <t>4608.5</t>
  </si>
  <si>
    <t>4114.73</t>
  </si>
  <si>
    <t>2026-09-01T14:40:00</t>
  </si>
  <si>
    <t>4240</t>
  </si>
  <si>
    <t>3785.71</t>
  </si>
  <si>
    <t>2026-09-01T15:30:00</t>
  </si>
  <si>
    <t>9333.2</t>
  </si>
  <si>
    <t>8333.21</t>
  </si>
  <si>
    <t>2026-09-01T17:12:00</t>
  </si>
  <si>
    <t>14950</t>
  </si>
  <si>
    <t>13348.21</t>
  </si>
  <si>
    <t>2026-09-01T17:31:00</t>
  </si>
  <si>
    <t>12201.8</t>
  </si>
  <si>
    <t>10894.46</t>
  </si>
  <si>
    <t>2026-09-01T20:10:00</t>
  </si>
  <si>
    <t>12451.8</t>
  </si>
  <si>
    <t>11117.68</t>
  </si>
  <si>
    <t>2026-09-01T20:13:00</t>
  </si>
  <si>
    <t>4631.2</t>
  </si>
  <si>
    <t>4135</t>
  </si>
  <si>
    <t>2026-09-01T20:27:00</t>
  </si>
  <si>
    <t>4225.3</t>
  </si>
  <si>
    <t>3772.59</t>
  </si>
  <si>
    <t>2026-09-01T22:59:00</t>
  </si>
  <si>
    <t>21434.8</t>
  </si>
  <si>
    <t>19138.21</t>
  </si>
  <si>
    <t>2026-09-01T23:19:00</t>
  </si>
  <si>
    <t>8598.9</t>
  </si>
  <si>
    <t>7677.59</t>
  </si>
  <si>
    <t>2026-09-01T23:36:00</t>
  </si>
  <si>
    <t>6730</t>
  </si>
  <si>
    <t>6008.93</t>
  </si>
  <si>
    <t>2026-09-02T01:19:00</t>
  </si>
  <si>
    <t>15761.8</t>
  </si>
  <si>
    <t>14073.04</t>
  </si>
  <si>
    <t>2026-09-02T06:14:00</t>
  </si>
  <si>
    <t>10501.4</t>
  </si>
  <si>
    <t>9376.25</t>
  </si>
  <si>
    <t>2026-09-02T07:05:00</t>
  </si>
  <si>
    <t>12153.4</t>
  </si>
  <si>
    <t>10851.25</t>
  </si>
  <si>
    <t>2026-09-02T08:17:00</t>
  </si>
  <si>
    <t>36221.2</t>
  </si>
  <si>
    <t>32340.36</t>
  </si>
  <si>
    <t>2026-09-02T09:38:00</t>
  </si>
  <si>
    <t>6808.2</t>
  </si>
  <si>
    <t>6078.75</t>
  </si>
  <si>
    <t>2026-09-02T11:07:00</t>
  </si>
  <si>
    <t>27989</t>
  </si>
  <si>
    <t>24990.18</t>
  </si>
  <si>
    <t>2026-09-02T12:19:00</t>
  </si>
  <si>
    <t>22019</t>
  </si>
  <si>
    <t>19659.82</t>
  </si>
  <si>
    <t>2026-09-02T13:21:00</t>
  </si>
  <si>
    <t>2026-09-02T13:27:00</t>
  </si>
  <si>
    <t>2555</t>
  </si>
  <si>
    <t>2281.25</t>
  </si>
  <si>
    <t>2026-09-02T15:16:00</t>
  </si>
  <si>
    <t>17210.6</t>
  </si>
  <si>
    <t>15366.61</t>
  </si>
  <si>
    <t>2026-09-02T16:48:00</t>
  </si>
  <si>
    <t>21280.2</t>
  </si>
  <si>
    <t>19000.18</t>
  </si>
  <si>
    <t>2026-09-02T17:18:00</t>
  </si>
  <si>
    <t>21380.2</t>
  </si>
  <si>
    <t>19089.46</t>
  </si>
  <si>
    <t>2026-09-02T18:07:00</t>
  </si>
  <si>
    <t>6110</t>
  </si>
  <si>
    <t>5455.36</t>
  </si>
  <si>
    <t>2026-09-02T20:34:00</t>
  </si>
  <si>
    <t>47302.2</t>
  </si>
  <si>
    <t>42234.11</t>
  </si>
  <si>
    <t>2026-09-02T21:15:00</t>
  </si>
  <si>
    <t>10750</t>
  </si>
  <si>
    <t>9598.21</t>
  </si>
  <si>
    <t>2026-09-02T21:34:00</t>
  </si>
  <si>
    <t>2026-09-02T23:57:00</t>
  </si>
  <si>
    <t>14850</t>
  </si>
  <si>
    <t>13258.93</t>
  </si>
  <si>
    <t>2026-09-03T08:35:00</t>
  </si>
  <si>
    <t>50010</t>
  </si>
  <si>
    <t>44651.79</t>
  </si>
  <si>
    <t>2026-09-03T10:11:00</t>
  </si>
  <si>
    <t>21419</t>
  </si>
  <si>
    <t>19124.11</t>
  </si>
  <si>
    <t>2026-09-03T12:11:00</t>
  </si>
  <si>
    <t>15645.4</t>
  </si>
  <si>
    <t>13969.11</t>
  </si>
  <si>
    <t>2026-09-03T17:13:00</t>
  </si>
  <si>
    <t>17003.4</t>
  </si>
  <si>
    <t>15181.61</t>
  </si>
  <si>
    <t>2026-09-03T17:55:00</t>
  </si>
  <si>
    <t>15519.2</t>
  </si>
  <si>
    <t>13856.43</t>
  </si>
  <si>
    <t>2026-09-03T18:50:00</t>
  </si>
  <si>
    <t>11517.9</t>
  </si>
  <si>
    <t>10283.84</t>
  </si>
  <si>
    <t>2026-09-03T19:12:00</t>
  </si>
  <si>
    <t>19470</t>
  </si>
  <si>
    <t>17383.93</t>
  </si>
  <si>
    <t>2026-09-03T21:41:00</t>
  </si>
  <si>
    <t>36215</t>
  </si>
  <si>
    <t>32334.82</t>
  </si>
  <si>
    <t>2026-09-04T08:54:00</t>
  </si>
  <si>
    <t>14733.6</t>
  </si>
  <si>
    <t>13155</t>
  </si>
  <si>
    <t>2026-09-04T14:06:00</t>
  </si>
  <si>
    <t>40095</t>
  </si>
  <si>
    <t>35799.11</t>
  </si>
  <si>
    <t>2026-09-04T15:13:00</t>
  </si>
  <si>
    <t>8212.2</t>
  </si>
  <si>
    <t>7332.32</t>
  </si>
  <si>
    <t>2026-09-04T16:02:00</t>
  </si>
  <si>
    <t>20517</t>
  </si>
  <si>
    <t>18318.75</t>
  </si>
  <si>
    <t>2026-09-04T19:20:00</t>
  </si>
  <si>
    <t>6665</t>
  </si>
  <si>
    <t>5950.89</t>
  </si>
  <si>
    <t>2026-09-04T20:23:00</t>
  </si>
  <si>
    <t>17877.2</t>
  </si>
  <si>
    <t>15961.79</t>
  </si>
  <si>
    <t>2026-09-04T21:44:00</t>
  </si>
  <si>
    <t>10984.5</t>
  </si>
  <si>
    <t>9807.59</t>
  </si>
  <si>
    <t>2026-09-04T22:08:00</t>
  </si>
  <si>
    <t>10195.4</t>
  </si>
  <si>
    <t>9103.04</t>
  </si>
  <si>
    <t>2026-09-04T22:19:00</t>
  </si>
  <si>
    <t>13185.2</t>
  </si>
  <si>
    <t>11772.5</t>
  </si>
  <si>
    <t>2026-09-04T23:10:00</t>
  </si>
  <si>
    <t>8450.4</t>
  </si>
  <si>
    <t>7545</t>
  </si>
  <si>
    <t>2026-09-04T23:17:00</t>
  </si>
  <si>
    <t>10495</t>
  </si>
  <si>
    <t>9370.54</t>
  </si>
  <si>
    <t>2026-09-04T23:45:00</t>
  </si>
  <si>
    <t>2026-09-05T12:13:00</t>
  </si>
  <si>
    <t>42530</t>
  </si>
  <si>
    <t>37973.21</t>
  </si>
  <si>
    <t>2026-09-05T13:10:00</t>
  </si>
  <si>
    <t>33928.4</t>
  </si>
  <si>
    <t>30293.21</t>
  </si>
  <si>
    <t>2026-09-05T15:45:00</t>
  </si>
  <si>
    <t>10683.4</t>
  </si>
  <si>
    <t>9538.75</t>
  </si>
  <si>
    <t>2026-09-05T16:37:00</t>
  </si>
  <si>
    <t>36315</t>
  </si>
  <si>
    <t>32424.11</t>
  </si>
  <si>
    <t>2026-09-06T04:40:00</t>
  </si>
  <si>
    <t>5580</t>
  </si>
  <si>
    <t>4982.14</t>
  </si>
  <si>
    <t>2026-09-06T11:28:00</t>
  </si>
  <si>
    <t>10282</t>
  </si>
  <si>
    <t>9180.36</t>
  </si>
  <si>
    <t>2026-09-06T12:56:00</t>
  </si>
  <si>
    <t>5059.9</t>
  </si>
  <si>
    <t>4517.77</t>
  </si>
  <si>
    <t>2026-09-06T16:11:00</t>
  </si>
  <si>
    <t>13863.6</t>
  </si>
  <si>
    <t>12378.21</t>
  </si>
  <si>
    <t>2026-09-06T17:15:00</t>
  </si>
  <si>
    <t>10317.8</t>
  </si>
  <si>
    <t>9212.32</t>
  </si>
  <si>
    <t>2026-09-06T19:05:00</t>
  </si>
  <si>
    <t>51292</t>
  </si>
  <si>
    <t>45796.43</t>
  </si>
  <si>
    <t>2026-09-06T21:36:00</t>
  </si>
  <si>
    <t>5</t>
  </si>
  <si>
    <t>2026-09-06T21:43:00</t>
  </si>
  <si>
    <t>9105</t>
  </si>
  <si>
    <t>8129.46</t>
  </si>
  <si>
    <t>2026-09-06T22:03:00</t>
  </si>
  <si>
    <t>36715</t>
  </si>
  <si>
    <t>32781.25</t>
  </si>
  <si>
    <t>2026-09-06T22:44:00</t>
  </si>
  <si>
    <t>9167.2</t>
  </si>
  <si>
    <t>8185</t>
  </si>
  <si>
    <t>2026-09-06T23:44:00</t>
  </si>
  <si>
    <t>22287</t>
  </si>
  <si>
    <t>19899.11</t>
  </si>
  <si>
    <t>2026-09-07T09:35:00</t>
  </si>
  <si>
    <t>2026-09-07T10:56:00</t>
  </si>
  <si>
    <t>2026-09-07T11:12:00</t>
  </si>
  <si>
    <t>10256.6</t>
  </si>
  <si>
    <t>9157.68</t>
  </si>
  <si>
    <t>2026-09-07T11:25:00</t>
  </si>
  <si>
    <t>16369.2</t>
  </si>
  <si>
    <t>14615.36</t>
  </si>
  <si>
    <t>2026-09-07T11:55:00</t>
  </si>
  <si>
    <t>5701.4</t>
  </si>
  <si>
    <t>5090.54</t>
  </si>
  <si>
    <t>2026-09-07T12:45:00</t>
  </si>
  <si>
    <t>21870</t>
  </si>
  <si>
    <t>19526.79</t>
  </si>
  <si>
    <t>2026-09-07T13:07:00</t>
  </si>
  <si>
    <t>76746.4</t>
  </si>
  <si>
    <t>68523.57</t>
  </si>
  <si>
    <t>2026-09-07T13:57:00</t>
  </si>
  <si>
    <t>24400</t>
  </si>
  <si>
    <t>21785.71</t>
  </si>
  <si>
    <t>2026-09-07T14:06:00</t>
  </si>
  <si>
    <t>2026-09-07T17:03:00</t>
  </si>
  <si>
    <t>2710</t>
  </si>
  <si>
    <t>2419.64</t>
  </si>
  <si>
    <t>2026-09-07T17:12:00</t>
  </si>
  <si>
    <t>26650</t>
  </si>
  <si>
    <t>23794.64</t>
  </si>
  <si>
    <t>2026-09-07T20:01:00</t>
  </si>
  <si>
    <t>24230</t>
  </si>
  <si>
    <t>21633.93</t>
  </si>
  <si>
    <t>2026-09-07T20:44:00</t>
  </si>
  <si>
    <t>6830</t>
  </si>
  <si>
    <t>6098.21</t>
  </si>
  <si>
    <t>2026-09-07T21:38:00</t>
  </si>
  <si>
    <t>68475</t>
  </si>
  <si>
    <t>61138.39</t>
  </si>
  <si>
    <t>2026-09-08T00:37:00</t>
  </si>
  <si>
    <t>36915</t>
  </si>
  <si>
    <t>32959.82</t>
  </si>
  <si>
    <t>2026-09-08T10:57:00</t>
  </si>
  <si>
    <t>38352.2</t>
  </si>
  <si>
    <t>34243.04</t>
  </si>
  <si>
    <t>2026-09-08T11:38:00</t>
  </si>
  <si>
    <t>13502.4</t>
  </si>
  <si>
    <t>12055.71</t>
  </si>
  <si>
    <t>12141.8</t>
  </si>
  <si>
    <t>10840.89</t>
  </si>
  <si>
    <t>2026-09-08T15:42:00</t>
  </si>
  <si>
    <t>22280</t>
  </si>
  <si>
    <t>19892.86</t>
  </si>
  <si>
    <t>2026-09-08T16:20:00</t>
  </si>
  <si>
    <t>32828.4</t>
  </si>
  <si>
    <t>29311.07</t>
  </si>
  <si>
    <t>2026-09-08T17:30:00</t>
  </si>
  <si>
    <t>2026-09-08T17:32:00</t>
  </si>
  <si>
    <t>13295.7</t>
  </si>
  <si>
    <t>11871.16</t>
  </si>
  <si>
    <t>2026-09-08T18:23:00</t>
  </si>
  <si>
    <t>27870</t>
  </si>
  <si>
    <t>24883.93</t>
  </si>
  <si>
    <t>2026-09-08T22:28:00</t>
  </si>
  <si>
    <t>15283.6</t>
  </si>
  <si>
    <t>13646.07</t>
  </si>
  <si>
    <t>2026-09-09T08:39:00</t>
  </si>
  <si>
    <t>2026-09-09T08:42:00</t>
  </si>
  <si>
    <t>8904.6</t>
  </si>
  <si>
    <t>7950.54</t>
  </si>
  <si>
    <t>2026-09-09T09:36:00</t>
  </si>
  <si>
    <t>22156.2</t>
  </si>
  <si>
    <t>19782.32</t>
  </si>
  <si>
    <t>2026-09-09T15:11:00</t>
  </si>
  <si>
    <t>5382.6</t>
  </si>
  <si>
    <t>4805.89</t>
  </si>
  <si>
    <t>2026-09-09T15:15:00</t>
  </si>
  <si>
    <t>22390</t>
  </si>
  <si>
    <t>19991.07</t>
  </si>
  <si>
    <t>2026-09-09T15:27:00</t>
  </si>
  <si>
    <t>7056.7</t>
  </si>
  <si>
    <t>6300.63</t>
  </si>
  <si>
    <t>2026-09-09T15:46:00</t>
  </si>
  <si>
    <t>8461.3</t>
  </si>
  <si>
    <t>7554.73</t>
  </si>
  <si>
    <t>2026-09-09T16:03:00</t>
  </si>
  <si>
    <t>2026-09-09T16:17:00</t>
  </si>
  <si>
    <t>25980</t>
  </si>
  <si>
    <t>23196.43</t>
  </si>
  <si>
    <t>2026-09-09T18:22:00</t>
  </si>
  <si>
    <t>35034.8</t>
  </si>
  <si>
    <t>31281.07</t>
  </si>
  <si>
    <t>2026-09-09T18:27:00</t>
  </si>
  <si>
    <t>24470</t>
  </si>
  <si>
    <t>21848.21</t>
  </si>
  <si>
    <t>2026-09-09T19:10:00</t>
  </si>
  <si>
    <t>7897.2</t>
  </si>
  <si>
    <t>7051.07</t>
  </si>
  <si>
    <t>2026-09-09T20:17:00</t>
  </si>
  <si>
    <t>8097.2</t>
  </si>
  <si>
    <t>7229.64</t>
  </si>
  <si>
    <t>2026-09-09T20:23:00</t>
  </si>
  <si>
    <t>23550</t>
  </si>
  <si>
    <t>21026.79</t>
  </si>
  <si>
    <t>2026-09-09T21:39:00</t>
  </si>
  <si>
    <t>25880</t>
  </si>
  <si>
    <t>23107.14</t>
  </si>
  <si>
    <t>2026-09-10T02:05:00</t>
  </si>
  <si>
    <t>2026-09-10T02:18:00</t>
  </si>
  <si>
    <t>37290</t>
  </si>
  <si>
    <t>33294.64</t>
  </si>
  <si>
    <t>2026-09-10T09:36:00</t>
  </si>
  <si>
    <t>6601.3</t>
  </si>
  <si>
    <t>5894.02</t>
  </si>
  <si>
    <t>2026-09-10T12:49:00</t>
  </si>
  <si>
    <t>24658.8</t>
  </si>
  <si>
    <t>22016.79</t>
  </si>
  <si>
    <t>2026-09-10T14:47:00</t>
  </si>
  <si>
    <t>57975</t>
  </si>
  <si>
    <t>51763.39</t>
  </si>
  <si>
    <t>2026-09-10T14:53:00</t>
  </si>
  <si>
    <t>17527.2</t>
  </si>
  <si>
    <t>15649.29</t>
  </si>
  <si>
    <t>2026-09-10T15:14:00</t>
  </si>
  <si>
    <t>22846.4</t>
  </si>
  <si>
    <t>20398.57</t>
  </si>
  <si>
    <t>2026-09-10T18:23:00</t>
  </si>
  <si>
    <t>2026-09-10T19:50:00</t>
  </si>
  <si>
    <t>24133.6</t>
  </si>
  <si>
    <t>21547.86</t>
  </si>
  <si>
    <t>2026-09-10T22:30:00</t>
  </si>
  <si>
    <t>20173.8</t>
  </si>
  <si>
    <t>18012.32</t>
  </si>
  <si>
    <t>2026-09-10T22:31:00</t>
  </si>
  <si>
    <t>12130.9</t>
  </si>
  <si>
    <t>10831.16</t>
  </si>
  <si>
    <t>2026-09-10T22:59:00</t>
  </si>
  <si>
    <t>22721.8</t>
  </si>
  <si>
    <t>20287.32</t>
  </si>
  <si>
    <t>2026-09-10T23:42:00</t>
  </si>
  <si>
    <t>12253.4</t>
  </si>
  <si>
    <t>10940.54</t>
  </si>
  <si>
    <t>2026-09-11T00:48:00</t>
  </si>
  <si>
    <t>10875.6</t>
  </si>
  <si>
    <t>9710.36</t>
  </si>
  <si>
    <t>2026-09-11T08:36:00</t>
  </si>
  <si>
    <t>2026-09-11T08:55:00</t>
  </si>
  <si>
    <t>7135</t>
  </si>
  <si>
    <t>6370.54</t>
  </si>
  <si>
    <t>2026-09-11T09:11:00</t>
  </si>
  <si>
    <t>2026-09-11T10:53:00</t>
  </si>
  <si>
    <t>2026-09-11T11:19:00</t>
  </si>
  <si>
    <t>21270</t>
  </si>
  <si>
    <t>18991.07</t>
  </si>
  <si>
    <t>2026-09-11T11:52:00</t>
  </si>
  <si>
    <t>9565</t>
  </si>
  <si>
    <t>8540.18</t>
  </si>
  <si>
    <t>2026-09-11T16:31:00</t>
  </si>
  <si>
    <t>17370</t>
  </si>
  <si>
    <t>15508.93</t>
  </si>
  <si>
    <t>2026-09-11T17:02:00</t>
  </si>
  <si>
    <t>7946.7</t>
  </si>
  <si>
    <t>7095.27</t>
  </si>
  <si>
    <t>2026-09-11T17:35:00</t>
  </si>
  <si>
    <t>15462.4</t>
  </si>
  <si>
    <t>13805.71</t>
  </si>
  <si>
    <t>2026-09-11T17:59:00</t>
  </si>
  <si>
    <t>2026-09-11T20:19:00</t>
  </si>
  <si>
    <t>13840</t>
  </si>
  <si>
    <t>12357.14</t>
  </si>
  <si>
    <t>2026-09-12T00:18:00</t>
  </si>
  <si>
    <t>25564</t>
  </si>
  <si>
    <t>22825</t>
  </si>
  <si>
    <t>2026-09-12T01:06:00</t>
  </si>
  <si>
    <t>2026-09-12T08:19:00</t>
  </si>
  <si>
    <t>2026-09-12T08:36:00</t>
  </si>
  <si>
    <t>21305.6</t>
  </si>
  <si>
    <t>19022.86</t>
  </si>
  <si>
    <t>2026-09-12T09:32:00</t>
  </si>
  <si>
    <t>34957.2</t>
  </si>
  <si>
    <t>31211.79</t>
  </si>
  <si>
    <t>2026-09-12T10:17:00</t>
  </si>
  <si>
    <t>2026-09-12T11:55:00</t>
  </si>
  <si>
    <t>25575</t>
  </si>
  <si>
    <t>22834.82</t>
  </si>
  <si>
    <t>2026-09-12T13:27:00</t>
  </si>
  <si>
    <t>26075</t>
  </si>
  <si>
    <t>23281.25</t>
  </si>
  <si>
    <t>2026-09-12T13:28:00</t>
  </si>
  <si>
    <t>2026-09-12T16:37:00</t>
  </si>
  <si>
    <t>23360</t>
  </si>
  <si>
    <t>20857.14</t>
  </si>
  <si>
    <t>2026-09-12T16:52:00</t>
  </si>
  <si>
    <t>7492.3</t>
  </si>
  <si>
    <t>6689.55</t>
  </si>
  <si>
    <t>2026-09-12T17:04:00</t>
  </si>
  <si>
    <t>13870.2</t>
  </si>
  <si>
    <t>12384.11</t>
  </si>
  <si>
    <t>2026-09-12T18:00:00</t>
  </si>
  <si>
    <t>5016.3</t>
  </si>
  <si>
    <t>4478.84</t>
  </si>
  <si>
    <t>2026-09-12T19:02:00</t>
  </si>
  <si>
    <t>35057.2</t>
  </si>
  <si>
    <t>31301.07</t>
  </si>
  <si>
    <t>2026-09-12T20:54:00</t>
  </si>
  <si>
    <t>60075</t>
  </si>
  <si>
    <t>53638.39</t>
  </si>
  <si>
    <t>2026-09-13T07:54:00</t>
  </si>
  <si>
    <t>4897.5</t>
  </si>
  <si>
    <t>4372.77</t>
  </si>
  <si>
    <t>2026-09-13T14:40:00</t>
  </si>
  <si>
    <t>12434.6</t>
  </si>
  <si>
    <t>11102.32</t>
  </si>
  <si>
    <t>2026-09-13T15:38:00</t>
  </si>
  <si>
    <t>2026-09-13T21:46:00</t>
  </si>
  <si>
    <t>48620</t>
  </si>
  <si>
    <t>43410.71</t>
  </si>
  <si>
    <t>2026-09-14T07:53:00</t>
  </si>
  <si>
    <t>22780</t>
  </si>
  <si>
    <t>20339.29</t>
  </si>
  <si>
    <t>2026-09-14T09:32:00</t>
  </si>
  <si>
    <t>5234.1</t>
  </si>
  <si>
    <t>4673.3</t>
  </si>
  <si>
    <t>2026-09-14T09:33:00</t>
  </si>
  <si>
    <t>5434.1</t>
  </si>
  <si>
    <t>4851.88</t>
  </si>
  <si>
    <t>2026-09-14T10:00:00</t>
  </si>
  <si>
    <t>2026-09-14T10:08:00</t>
  </si>
  <si>
    <t>2026-09-14T10:27:00</t>
  </si>
  <si>
    <t>14335.8</t>
  </si>
  <si>
    <t>12799.82</t>
  </si>
  <si>
    <t>2026-09-14T13:28:00</t>
  </si>
  <si>
    <t>20888.6</t>
  </si>
  <si>
    <t>18650.54</t>
  </si>
  <si>
    <t>2026-09-14T13:30:00</t>
  </si>
  <si>
    <t>9971.4</t>
  </si>
  <si>
    <t>8903.04</t>
  </si>
  <si>
    <t>2026-09-14T14:41:00</t>
  </si>
  <si>
    <t>41655</t>
  </si>
  <si>
    <t>37191.96</t>
  </si>
  <si>
    <t>2026-09-14T16:17:00</t>
  </si>
  <si>
    <t>21170</t>
  </si>
  <si>
    <t>18901.79</t>
  </si>
  <si>
    <t>2026-09-14T16:49:00</t>
  </si>
  <si>
    <t>29861</t>
  </si>
  <si>
    <t>26661.61</t>
  </si>
  <si>
    <t>2026-09-14T17:43:00</t>
  </si>
  <si>
    <t>6075</t>
  </si>
  <si>
    <t>5424.11</t>
  </si>
  <si>
    <t>2026-09-15T09:26:00</t>
  </si>
  <si>
    <t>9034.4</t>
  </si>
  <si>
    <t>8066.43</t>
  </si>
  <si>
    <t>2026-09-15T09:30:00</t>
  </si>
  <si>
    <t>31893.6</t>
  </si>
  <si>
    <t>28476.43</t>
  </si>
  <si>
    <t>2026-09-15T10:10:00</t>
  </si>
  <si>
    <t>12887.5</t>
  </si>
  <si>
    <t>11506.7</t>
  </si>
  <si>
    <t>2026-09-15T14:31:00</t>
  </si>
  <si>
    <t>50000</t>
  </si>
  <si>
    <t>44642.86</t>
  </si>
  <si>
    <t>2026-09-15T16:54:00</t>
  </si>
  <si>
    <t>2026-09-15T21:33:00</t>
  </si>
  <si>
    <t>16777.2</t>
  </si>
  <si>
    <t>14979.64</t>
  </si>
  <si>
    <t>2026-09-15T22:39:00</t>
  </si>
  <si>
    <t>15345</t>
  </si>
  <si>
    <t>13700.89</t>
  </si>
  <si>
    <t>2026-09-16T01:50:00</t>
  </si>
  <si>
    <t>2026-09-16T06:47:00</t>
  </si>
  <si>
    <t>16893.8</t>
  </si>
  <si>
    <t>15083.75</t>
  </si>
  <si>
    <t>2026-09-16T11:09:00</t>
  </si>
  <si>
    <t>169885.8</t>
  </si>
  <si>
    <t>151683.75</t>
  </si>
  <si>
    <t>2026-09-16T11:10:00</t>
  </si>
  <si>
    <t>12</t>
  </si>
  <si>
    <t>13165.8</t>
  </si>
  <si>
    <t>11755.18</t>
  </si>
  <si>
    <t>2026-09-16T12:09:00</t>
  </si>
  <si>
    <t>32568</t>
  </si>
  <si>
    <t>29078.57</t>
  </si>
  <si>
    <t>2026-09-16T12:25:00</t>
  </si>
  <si>
    <t>2026-09-16T12:28:00</t>
  </si>
  <si>
    <t>51192.9</t>
  </si>
  <si>
    <t>45707.95</t>
  </si>
  <si>
    <t>2026-09-16T14:03:00</t>
  </si>
  <si>
    <t>2026-09-16T14:14:00</t>
  </si>
  <si>
    <t>21273.8</t>
  </si>
  <si>
    <t>18994.46</t>
  </si>
  <si>
    <t>2026-09-16T15:03:00</t>
  </si>
  <si>
    <t>48000</t>
  </si>
  <si>
    <t>42857.14</t>
  </si>
  <si>
    <t>2026-09-16T15:22:00</t>
  </si>
  <si>
    <t>12861.4</t>
  </si>
  <si>
    <t>11483.39</t>
  </si>
  <si>
    <t>2026-09-16T17:05:00</t>
  </si>
  <si>
    <t>8355.4</t>
  </si>
  <si>
    <t>7460.18</t>
  </si>
  <si>
    <t>2026-09-16T18:34:00</t>
  </si>
  <si>
    <t>13468.2</t>
  </si>
  <si>
    <t>12025.18</t>
  </si>
  <si>
    <t>2026-09-16T19:42:00</t>
  </si>
  <si>
    <t>2026-09-16T19:52:00</t>
  </si>
  <si>
    <t>20717</t>
  </si>
  <si>
    <t>18497.32</t>
  </si>
  <si>
    <t>2026-09-16T20:15:00</t>
  </si>
  <si>
    <t>25260.2</t>
  </si>
  <si>
    <t>22553.75</t>
  </si>
  <si>
    <t>2026-09-16T22:41:00</t>
  </si>
  <si>
    <t>8236</t>
  </si>
  <si>
    <t>7353.57</t>
  </si>
  <si>
    <t>2026-09-16T22:46:00</t>
  </si>
  <si>
    <t>25360.2</t>
  </si>
  <si>
    <t>22643.04</t>
  </si>
  <si>
    <t>2026-09-17T00:57:00</t>
  </si>
  <si>
    <t>32611.4</t>
  </si>
  <si>
    <t>29117.32</t>
  </si>
  <si>
    <t>2026-09-17T08:36:00</t>
  </si>
  <si>
    <t>8</t>
  </si>
  <si>
    <t>5534.1</t>
  </si>
  <si>
    <t>4941.16</t>
  </si>
  <si>
    <t>2026-09-17T10:02:00</t>
  </si>
  <si>
    <t>2026-09-17T10:34:00</t>
  </si>
  <si>
    <t>5373.7</t>
  </si>
  <si>
    <t>4797.95</t>
  </si>
  <si>
    <t>2026-09-17T10:43:00</t>
  </si>
  <si>
    <t>33609</t>
  </si>
  <si>
    <t>30008.04</t>
  </si>
  <si>
    <t>2026-09-17T11:14:00</t>
  </si>
  <si>
    <t>17627.2</t>
  </si>
  <si>
    <t>15738.57</t>
  </si>
  <si>
    <t>2026-09-17T11:16:00</t>
  </si>
  <si>
    <t>2026-09-17T15:47:00</t>
  </si>
  <si>
    <t>2495</t>
  </si>
  <si>
    <t>2227.68</t>
  </si>
  <si>
    <t>2026-09-17T16:03:00</t>
  </si>
  <si>
    <t>2026-09-17T16:36:00</t>
  </si>
  <si>
    <t>24170.8</t>
  </si>
  <si>
    <t>21581.07</t>
  </si>
  <si>
    <t>2026-09-17T18:25:00</t>
  </si>
  <si>
    <t>11018.4</t>
  </si>
  <si>
    <t>9837.86</t>
  </si>
  <si>
    <t>2026-09-18T06:32:00</t>
  </si>
  <si>
    <t>36543.6</t>
  </si>
  <si>
    <t>32628.21</t>
  </si>
  <si>
    <t>2026-09-18T08:23:00</t>
  </si>
  <si>
    <t>7227.2</t>
  </si>
  <si>
    <t>6452.86</t>
  </si>
  <si>
    <t>2026-09-18T09:37:00</t>
  </si>
  <si>
    <t>12509.1</t>
  </si>
  <si>
    <t>11168.84</t>
  </si>
  <si>
    <t>7600</t>
  </si>
  <si>
    <t>6785.71</t>
  </si>
  <si>
    <t>2026-09-18T12:35:00</t>
  </si>
  <si>
    <t>17270</t>
  </si>
  <si>
    <t>15419.64</t>
  </si>
  <si>
    <t>2026-09-18T13:50:00</t>
  </si>
  <si>
    <t>16761.6</t>
  </si>
  <si>
    <t>14965.71</t>
  </si>
  <si>
    <t>2026-09-18T15:47:00</t>
  </si>
  <si>
    <t>5385</t>
  </si>
  <si>
    <t>4808.04</t>
  </si>
  <si>
    <t>2026-09-18T17:13:00</t>
  </si>
  <si>
    <t>25024.4</t>
  </si>
  <si>
    <t>22343.21</t>
  </si>
  <si>
    <t>2026-09-18T18:22:00</t>
  </si>
  <si>
    <t>17107</t>
  </si>
  <si>
    <t>15274.11</t>
  </si>
  <si>
    <t>2026-09-18T20:52:00</t>
  </si>
  <si>
    <t>18053.8</t>
  </si>
  <si>
    <t>16119.46</t>
  </si>
  <si>
    <t>2026-09-18T23:49:00</t>
  </si>
  <si>
    <t>18403.8</t>
  </si>
  <si>
    <t>16431.96</t>
  </si>
  <si>
    <t>2026-09-18T23:50:00</t>
  </si>
  <si>
    <t>44150</t>
  </si>
  <si>
    <t>39419.64</t>
  </si>
  <si>
    <t>2026-09-19T01:20:00</t>
  </si>
  <si>
    <t>2026-09-19T08:28:00</t>
  </si>
  <si>
    <t>8698.9</t>
  </si>
  <si>
    <t>7766.88</t>
  </si>
  <si>
    <t>2026-09-19T12:45:00</t>
  </si>
  <si>
    <t>17553.4</t>
  </si>
  <si>
    <t>15672.68</t>
  </si>
  <si>
    <t>2026-09-19T15:20:00</t>
  </si>
  <si>
    <t>2026-09-19T16:00:00</t>
  </si>
  <si>
    <t>21939.2</t>
  </si>
  <si>
    <t>19588.57</t>
  </si>
  <si>
    <t>2026-09-20T08:48:00</t>
  </si>
  <si>
    <t>9815.6</t>
  </si>
  <si>
    <t>8763.93</t>
  </si>
  <si>
    <t>2026-09-20T08:57:00</t>
  </si>
  <si>
    <t>34115</t>
  </si>
  <si>
    <t>30459.82</t>
  </si>
  <si>
    <t>2026-09-20T11:10:00</t>
  </si>
  <si>
    <t>21687</t>
  </si>
  <si>
    <t>19363.39</t>
  </si>
  <si>
    <t>2026-09-20T11:30:00</t>
  </si>
  <si>
    <t>10744.6</t>
  </si>
  <si>
    <t>9593.39</t>
  </si>
  <si>
    <t>2026-09-20T14:31:00</t>
  </si>
  <si>
    <t>2026-09-20T17:51:00</t>
  </si>
  <si>
    <t>9647.3</t>
  </si>
  <si>
    <t>8613.66</t>
  </si>
  <si>
    <t>2026-09-20T19:09:00</t>
  </si>
  <si>
    <t>2026-09-20T19:43:00</t>
  </si>
  <si>
    <t>25140</t>
  </si>
  <si>
    <t>22446.43</t>
  </si>
  <si>
    <t>2026-09-21T08:27:00</t>
  </si>
  <si>
    <t>11231.8</t>
  </si>
  <si>
    <t>10028.39</t>
  </si>
  <si>
    <t>2026-09-21T10:58:00</t>
  </si>
  <si>
    <t>11869</t>
  </si>
  <si>
    <t>10597.32</t>
  </si>
  <si>
    <t>2026-09-21T11:51:00</t>
  </si>
  <si>
    <t>15383.4</t>
  </si>
  <si>
    <t>13735.18</t>
  </si>
  <si>
    <t>2026-09-21T12:11:00</t>
  </si>
  <si>
    <t>9489.9</t>
  </si>
  <si>
    <t>8473.13</t>
  </si>
  <si>
    <t>2026-09-21T19:00:00</t>
  </si>
  <si>
    <t>6542.9</t>
  </si>
  <si>
    <t>5841.88</t>
  </si>
  <si>
    <t>2026-09-21T20:25:00</t>
  </si>
  <si>
    <t>44910</t>
  </si>
  <si>
    <t>40098.21</t>
  </si>
  <si>
    <t>2026-09-21T21:46:00</t>
  </si>
  <si>
    <t>45410</t>
  </si>
  <si>
    <t>40544.64</t>
  </si>
  <si>
    <t>2026-09-21T21:54:00</t>
  </si>
  <si>
    <t>24500</t>
  </si>
  <si>
    <t>21875</t>
  </si>
  <si>
    <t>2026-09-22T03:03:00</t>
  </si>
  <si>
    <t>2026-09-22T11:34:00</t>
  </si>
  <si>
    <t>28190</t>
  </si>
  <si>
    <t>25169.64</t>
  </si>
  <si>
    <t>2026-09-22T12:56:00</t>
  </si>
  <si>
    <t>19655</t>
  </si>
  <si>
    <t>17549.11</t>
  </si>
  <si>
    <t>2026-09-22T16:38:00</t>
  </si>
  <si>
    <t>21795</t>
  </si>
  <si>
    <t>19459.82</t>
  </si>
  <si>
    <t>2026-09-22T18:05:00</t>
  </si>
  <si>
    <t>21695</t>
  </si>
  <si>
    <t>19370.54</t>
  </si>
  <si>
    <t>2026-09-22T19:54:00</t>
  </si>
  <si>
    <t>12587.1</t>
  </si>
  <si>
    <t>11238.48</t>
  </si>
  <si>
    <t>2026-09-22T22:33:00</t>
  </si>
  <si>
    <t>15291</t>
  </si>
  <si>
    <t>13652.68</t>
  </si>
  <si>
    <t>2026-09-23T11:19:00</t>
  </si>
  <si>
    <t>12567.4</t>
  </si>
  <si>
    <t>11220.89</t>
  </si>
  <si>
    <t>2026-09-23T12:12:00</t>
  </si>
  <si>
    <t>2026-09-23T12:13:00</t>
  </si>
  <si>
    <t>chatbot</t>
  </si>
  <si>
    <t>80000</t>
  </si>
  <si>
    <t>71428.57</t>
  </si>
  <si>
    <t>2026-09-23T13:10:00</t>
  </si>
  <si>
    <t>5710.3</t>
  </si>
  <si>
    <t>5098.48</t>
  </si>
  <si>
    <t>2026-09-23T13:21:00</t>
  </si>
  <si>
    <t>7392.3</t>
  </si>
  <si>
    <t>6600.27</t>
  </si>
  <si>
    <t>2026-09-23T14:09:00</t>
  </si>
  <si>
    <t>5335</t>
  </si>
  <si>
    <t>4763.39</t>
  </si>
  <si>
    <t>2026-09-23T14:20:00</t>
  </si>
  <si>
    <t>22403.4</t>
  </si>
  <si>
    <t>20003.04</t>
  </si>
  <si>
    <t>2026-09-23T15:11:00</t>
  </si>
  <si>
    <t>41305</t>
  </si>
  <si>
    <t>36879.46</t>
  </si>
  <si>
    <t>2026-09-23T17:45:00</t>
  </si>
  <si>
    <t>8749.6</t>
  </si>
  <si>
    <t>7812.14</t>
  </si>
  <si>
    <t>2026-09-23T18:00:00</t>
  </si>
  <si>
    <t>29835.6</t>
  </si>
  <si>
    <t>26638.93</t>
  </si>
  <si>
    <t>2026-09-23T18:04:00</t>
  </si>
  <si>
    <t>14432.8</t>
  </si>
  <si>
    <t>12886.43</t>
  </si>
  <si>
    <t>2026-09-23T19:17:00</t>
  </si>
  <si>
    <t>30863.2</t>
  </si>
  <si>
    <t>27556.43</t>
  </si>
  <si>
    <t>2026-09-23T20:18:00</t>
  </si>
  <si>
    <t>12667.4</t>
  </si>
  <si>
    <t>11310.18</t>
  </si>
  <si>
    <t>2026-09-24T09:25:00</t>
  </si>
  <si>
    <t>2026-09-24T09:47:00</t>
  </si>
  <si>
    <t>25124.4</t>
  </si>
  <si>
    <t>22432.5</t>
  </si>
  <si>
    <t>2026-09-24T11:22:00</t>
  </si>
  <si>
    <t>22724</t>
  </si>
  <si>
    <t>20289.29</t>
  </si>
  <si>
    <t>2026-09-24T12:49:00</t>
  </si>
  <si>
    <t>12067.9</t>
  </si>
  <si>
    <t>10774.91</t>
  </si>
  <si>
    <t>31149.6</t>
  </si>
  <si>
    <t>27812.14</t>
  </si>
  <si>
    <t>2026-09-24T14:41:00</t>
  </si>
  <si>
    <t>Channel Summary</t>
  </si>
  <si>
    <t>September 1–24 only. Order values are counted once; status reflects the backend snapshot.</t>
  </si>
  <si>
    <t>Orders</t>
  </si>
  <si>
    <t>Fulfilled orders</t>
  </si>
  <si>
    <t>Fulfillment rate</t>
  </si>
  <si>
    <t>Cancelled orders</t>
  </si>
  <si>
    <t>Net value per order</t>
  </si>
  <si>
    <t>Fulfilled value share</t>
  </si>
  <si>
    <t>Weekly Summary</t>
  </si>
  <si>
    <t>Customer Type</t>
  </si>
  <si>
    <t>Channel Customer Type</t>
  </si>
  <si>
    <t>Status Breakdown</t>
  </si>
  <si>
    <t>Campaign Breakdown</t>
  </si>
  <si>
    <t>Total net</t>
  </si>
  <si>
    <t>Total fulfilled</t>
  </si>
  <si>
    <t>Days</t>
  </si>
  <si>
    <t>Net per day</t>
  </si>
  <si>
    <t>Week 4 (partial)</t>
  </si>
  <si>
    <t>ALL-ORDER NET SALES</t>
  </si>
  <si>
    <t>FULFILLED NET REVENUE</t>
  </si>
  <si>
    <t>OPEN ORDER NET VALUE</t>
  </si>
  <si>
    <t>CANCELLED NET VALUE</t>
  </si>
  <si>
    <t>ANALYST FINDINGS &amp; NEXT ACTIONS</t>
  </si>
  <si>
    <t>Direct &amp; Organic contributes 62.5% of fulfilled net revenue (₱1,307,529).</t>
  </si>
  <si>
    <t>Cancelled orders represent ₱1,293,777, or 27.0% of September order value. Review cancellation reasons before increasing acquisition spend.</t>
  </si>
  <si>
    <t>Open orders hold ₱1,332,417. Prioritize payment and fulfillment follow-up; this value is not a revenue forecast.</t>
  </si>
  <si>
    <t>Week 4 averages ₱169,322 per day versus ₱196,039 in Week 3 (-13.6%). Three-day coverage and weekday mix limit comparison.</t>
  </si>
  <si>
    <t>Week 4 has no fulfilled revenue in this snapshot. These recent order cohorts have had less time to fulfill; this is not evidence of zero eventual sales.</t>
  </si>
  <si>
    <t>8 fulfilled orders are partially paid. Fulfilled revenue uses full order value and is not cash collected.</t>
  </si>
  <si>
    <t>Backend customer type is an operational classification (Website/Fb/Chatbot), not new versus returning customer and not the analytics acquisition channel.</t>
  </si>
  <si>
    <t>No advertising spend, clicks or session denominators were supplied. ROAS, CAC and visitor-to-order conversion cannot be calculated from these exports.</t>
  </si>
  <si>
    <t>READ ME | Scope &amp; methodology</t>
  </si>
  <si>
    <t>Reproducible analysis with source records and formula-based summaries.</t>
  </si>
  <si>
    <t>Period</t>
  </si>
  <si>
    <t>September 1–24, 2026 using backend order_date, not analytics event date. Dates are backend DATETIME values without timezone conversion.</t>
  </si>
  <si>
    <t>Weeks</t>
  </si>
  <si>
    <t>Week 1 Sep 1–7; Week 2 Sep 8–14; Week 3 Sep 15–21; Week 4 Sep 22–24 (3 days).</t>
  </si>
  <si>
    <t>Snapshot</t>
  </si>
  <si>
    <t>['2026-09-25 02:00:22']</t>
  </si>
  <si>
    <t>Source mapping</t>
  </si>
  <si>
    <t>Google Ads = first supplied export, including its cross-network row. Direct &amp; Organic combines two campaign labels; Campaign Breakdown keeps them separate. Referral = referral.csv.</t>
  </si>
  <si>
    <t>Existing gulong_core.orders_raw_deduped calculation: ROUND(total_amount_due / 1.12, 2). Source table is gulong_backend.orders_raw. Cancelled, unfinished, returns and refunds remain in all-order net sales.</t>
  </si>
  <si>
    <t>Fulfilled revenue</t>
  </si>
  <si>
    <t>is_fulfillment_success_order = true and is_excluded_test_order = false. Full order value is used even for partial payment. This is not cash collected or a formal accounting revenue-recognition schedule.</t>
  </si>
  <si>
    <t>customer_type_raw from backend, preserving the backend label. Unknown means no backend match. It does not describe new/returning status.</t>
  </si>
  <si>
    <t>Coverage</t>
  </si>
  <si>
    <t>267 CSV records / distinct order IDs; 264 backend matches; 262 September orders; 5 exceptions. No duplicate or overlapping order IDs.</t>
  </si>
  <si>
    <t>Excluded orders</t>
  </si>
  <si>
    <t>August orders 38959 and 38805, plus unmatched IDs 39900, 39109, 39052. Source Data retains all records; dashboard includes only September 1–24.</t>
  </si>
  <si>
    <t>Event counts</t>
  </si>
  <si>
    <t>437 purchase events across 267 unique IDs. Purchase events are not revenue multipliers.</t>
  </si>
  <si>
    <t>Summary formulas</t>
  </si>
  <si>
    <t>COUNTIFS and SUMIFS reference Source Data, with cached results for preview. Changes within existing source rows recalculate in Excel. New rows require rebuilding to extend formula ranges. Analyst findings are snapshot commentary.</t>
  </si>
  <si>
    <t>Source files</t>
  </si>
  <si>
    <t>Three Original tabs retain the input columns and values. Backend Extract retains the retrieved query result. Source Data contains the joined analysis fields. Exceptions lists excluded/unmatched records.</t>
  </si>
  <si>
    <t>Comparison caution</t>
  </si>
  <si>
    <t>Weekly figures are order-date cohorts using present order status, not sales fulfilled during each calendar week. Recent cohorts have less time to fulfill.</t>
  </si>
  <si>
    <t>Design reference</t>
  </si>
  <si>
    <t>japan_sku: executive dashboard, summary and detailed breakdown tabs, source data, peso formatting and performance charts.</t>
  </si>
  <si>
    <t>Refresh</t>
  </si>
  <si>
    <t>Run match_orders.sql via bq to replace backend_orders.json, then run build_dashboard.py with XlsxWriter available. Files saved in channel_revenue_excel.</t>
  </si>
</sst>
</file>

<file path=xl/styles.xml><?xml version="1.0" encoding="utf-8"?>
<styleSheet xmlns="http://schemas.openxmlformats.org/spreadsheetml/2006/main">
  <numFmts count="5">
    <numFmt numFmtId="164" formatCode="&quot;₱&quot;#,##0"/>
    <numFmt numFmtId="165" formatCode="mmm d, yyyy hh:mm"/>
    <numFmt numFmtId="166" formatCode="&quot;₱&quot;#,##0.00;[Red](&quot;₱&quot;#,##0.00)"/>
    <numFmt numFmtId="167" formatCode="#,##0"/>
    <numFmt numFmtId="168" formatCode="0.0%"/>
  </numFmts>
  <fonts count="6">
    <font>
      <sz val="11"/>
      <color theme="1"/>
      <name val="Calibri"/>
      <family val="2"/>
      <scheme val="minor"/>
    </font>
    <font>
      <b/>
      <sz val="22"/>
      <color rgb="FFFFFFFF"/>
      <name val="Calibri"/>
      <family val="2"/>
      <scheme val="minor"/>
    </font>
    <font>
      <sz val="11"/>
      <color rgb="FF596B7B"/>
      <name val="Calibri"/>
      <family val="2"/>
      <scheme val="minor"/>
    </font>
    <font>
      <b/>
      <sz val="11"/>
      <color rgb="FF008C95"/>
      <name val="Calibri"/>
      <family val="2"/>
      <scheme val="minor"/>
    </font>
    <font>
      <b/>
      <sz val="23"/>
      <color rgb="FF17324D"/>
      <name val="Calibri"/>
      <family val="2"/>
      <scheme val="minor"/>
    </font>
    <font>
      <b/>
      <sz val="11"/>
      <color rgb="FFFFFFFF"/>
      <name val="Calibri"/>
      <family val="2"/>
      <scheme val="minor"/>
    </font>
  </fonts>
  <fills count="4">
    <fill>
      <patternFill patternType="none"/>
    </fill>
    <fill>
      <patternFill patternType="gray125"/>
    </fill>
    <fill>
      <patternFill patternType="solid">
        <fgColor rgb="FF17324D"/>
        <bgColor indexed="64"/>
      </patternFill>
    </fill>
    <fill>
      <patternFill patternType="solid">
        <fgColor rgb="FFEAF3F7"/>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applyAlignment="1">
      <alignment vertical="center" wrapText="1"/>
    </xf>
    <xf numFmtId="0" fontId="3" fillId="3" borderId="0" xfId="0" applyFont="1" applyFill="1"/>
    <xf numFmtId="164" fontId="4" fillId="3" borderId="0" xfId="0" applyNumberFormat="1" applyFont="1" applyFill="1"/>
    <xf numFmtId="0" fontId="5" fillId="2" borderId="0" xfId="0" applyFont="1" applyFill="1" applyAlignment="1">
      <alignment wrapText="1"/>
    </xf>
    <xf numFmtId="0" fontId="0" fillId="0" borderId="0" xfId="0" applyAlignment="1">
      <alignment vertical="top" wrapText="1"/>
    </xf>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2">
    <dxf>
      <numFmt numFmtId="165" formatCode="mmm d, yyyy hh:mm"/>
    </dxf>
    <dxf>
      <numFmt numFmtId="166" formatCode="&quot;₱&quot;#,##0.00;[Red](&quot;₱&quot;#,##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aseline="0">
                <a:solidFill>
                  <a:srgbClr val="17324D"/>
                </a:solidFill>
              </a:defRPr>
            </a:pPr>
            <a:r>
              <a:rPr lang="en-US" sz="1200" baseline="0">
                <a:solidFill>
                  <a:srgbClr val="17324D"/>
                </a:solidFill>
              </a:rPr>
              <a:t>Weekly net sales by source channel</a:t>
            </a:r>
          </a:p>
        </c:rich>
      </c:tx>
      <c:layout/>
    </c:title>
    <c:plotArea>
      <c:layout/>
      <c:barChart>
        <c:barDir val="col"/>
        <c:grouping val="stacked"/>
        <c:ser>
          <c:idx val="0"/>
          <c:order val="0"/>
          <c:tx>
            <c:v>Google Ads</c:v>
          </c:tx>
          <c:spPr>
            <a:solidFill>
              <a:srgbClr val="3975B8"/>
            </a:solidFill>
          </c:spPr>
          <c:cat>
            <c:strRef>
              <c:f>'Chart Data'!$A$2:$A$5</c:f>
              <c:strCache>
                <c:ptCount val="4"/>
                <c:pt idx="0">
                  <c:v>Week 1</c:v>
                </c:pt>
                <c:pt idx="1">
                  <c:v>Week 2</c:v>
                </c:pt>
                <c:pt idx="2">
                  <c:v>Week 3</c:v>
                </c:pt>
                <c:pt idx="3">
                  <c:v>Week 4 (partial)</c:v>
                </c:pt>
              </c:strCache>
            </c:strRef>
          </c:cat>
          <c:val>
            <c:numRef>
              <c:f>'Chart Data'!$B$2:$B$5</c:f>
              <c:numCache>
                <c:formatCode>General</c:formatCode>
                <c:ptCount val="4"/>
                <c:pt idx="0">
                  <c:v>522608.31</c:v>
                </c:pt>
                <c:pt idx="1">
                  <c:v>232561.16</c:v>
                </c:pt>
                <c:pt idx="2">
                  <c:v>552631.53</c:v>
                </c:pt>
                <c:pt idx="3">
                  <c:v>165308.48</c:v>
                </c:pt>
              </c:numCache>
            </c:numRef>
          </c:val>
        </c:ser>
        <c:ser>
          <c:idx val="1"/>
          <c:order val="1"/>
          <c:tx>
            <c:v>Direct &amp; Organic</c:v>
          </c:tx>
          <c:spPr>
            <a:solidFill>
              <a:srgbClr val="008C95"/>
            </a:solidFill>
          </c:spPr>
          <c:cat>
            <c:strRef>
              <c:f>'Chart Data'!$A$2:$A$5</c:f>
              <c:strCache>
                <c:ptCount val="4"/>
                <c:pt idx="0">
                  <c:v>Week 1</c:v>
                </c:pt>
                <c:pt idx="1">
                  <c:v>Week 2</c:v>
                </c:pt>
                <c:pt idx="2">
                  <c:v>Week 3</c:v>
                </c:pt>
                <c:pt idx="3">
                  <c:v>Week 4 (partial)</c:v>
                </c:pt>
              </c:strCache>
            </c:strRef>
          </c:cat>
          <c:val>
            <c:numRef>
              <c:f>'Chart Data'!$C$2:$C$5</c:f>
              <c:numCache>
                <c:formatCode>General</c:formatCode>
                <c:ptCount val="4"/>
                <c:pt idx="0">
                  <c:v>793046.8</c:v>
                </c:pt>
                <c:pt idx="1">
                  <c:v>1071884.97</c:v>
                </c:pt>
                <c:pt idx="2">
                  <c:v>684801.78</c:v>
                </c:pt>
                <c:pt idx="3">
                  <c:v>312389.11</c:v>
                </c:pt>
              </c:numCache>
            </c:numRef>
          </c:val>
        </c:ser>
        <c:ser>
          <c:idx val="2"/>
          <c:order val="2"/>
          <c:tx>
            <c:v>Referral</c:v>
          </c:tx>
          <c:spPr>
            <a:solidFill>
              <a:srgbClr val="E9AE43"/>
            </a:solidFill>
          </c:spPr>
          <c:cat>
            <c:strRef>
              <c:f>'Chart Data'!$A$2:$A$5</c:f>
              <c:strCache>
                <c:ptCount val="4"/>
                <c:pt idx="0">
                  <c:v>Week 1</c:v>
                </c:pt>
                <c:pt idx="1">
                  <c:v>Week 2</c:v>
                </c:pt>
                <c:pt idx="2">
                  <c:v>Week 3</c:v>
                </c:pt>
                <c:pt idx="3">
                  <c:v>Week 4 (partial)</c:v>
                </c:pt>
              </c:strCache>
            </c:strRef>
          </c:cat>
          <c:val>
            <c:numRef>
              <c:f>'Chart Data'!$D$2:$D$5</c:f>
              <c:numCache>
                <c:formatCode>General</c:formatCode>
                <c:ptCount val="4"/>
                <c:pt idx="0">
                  <c:v>90845.09</c:v>
                </c:pt>
                <c:pt idx="1">
                  <c:v>208630.37</c:v>
                </c:pt>
                <c:pt idx="2">
                  <c:v>134840.53</c:v>
                </c:pt>
                <c:pt idx="3">
                  <c:v>30268.12</c:v>
                </c:pt>
              </c:numCache>
            </c:numRef>
          </c:val>
        </c:ser>
        <c:overlap val="100"/>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spPr>
            <a:ln>
              <a:solidFill>
                <a:srgbClr val="E6EDF2"/>
              </a:solidFill>
            </a:ln>
          </c:spPr>
        </c:majorGridlines>
        <c:numFmt formatCode="₱#,##0"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aseline="0">
                <a:solidFill>
                  <a:srgbClr val="17324D"/>
                </a:solidFill>
              </a:defRPr>
            </a:pPr>
            <a:r>
              <a:rPr lang="en-US" sz="1200" baseline="0">
                <a:solidFill>
                  <a:srgbClr val="17324D"/>
                </a:solidFill>
              </a:rPr>
              <a:t>Order value versus fulfilled revenue</a:t>
            </a:r>
          </a:p>
        </c:rich>
      </c:tx>
      <c:layout/>
    </c:title>
    <c:plotArea>
      <c:layout/>
      <c:barChart>
        <c:barDir val="col"/>
        <c:grouping val="clustered"/>
        <c:ser>
          <c:idx val="0"/>
          <c:order val="0"/>
          <c:tx>
            <c:v>Net sales</c:v>
          </c:tx>
          <c:spPr>
            <a:solidFill>
              <a:srgbClr val="3975B8"/>
            </a:solidFill>
          </c:spPr>
          <c:cat>
            <c:strRef>
              <c:f>'Channel Summary'!$A$7:$A$9</c:f>
              <c:strCache>
                <c:ptCount val="3"/>
                <c:pt idx="0">
                  <c:v>Google Ads</c:v>
                </c:pt>
                <c:pt idx="1">
                  <c:v>Direct &amp; Organic</c:v>
                </c:pt>
                <c:pt idx="2">
                  <c:v>Referral</c:v>
                </c:pt>
              </c:strCache>
            </c:strRef>
          </c:cat>
          <c:val>
            <c:numRef>
              <c:f>'Channel Summary'!$C$7:$C$9</c:f>
              <c:numCache>
                <c:formatCode>General</c:formatCode>
                <c:ptCount val="3"/>
                <c:pt idx="0">
                  <c:v>1473109.48</c:v>
                </c:pt>
                <c:pt idx="1">
                  <c:v>2862122.66</c:v>
                </c:pt>
                <c:pt idx="2">
                  <c:v>464584.11</c:v>
                </c:pt>
              </c:numCache>
            </c:numRef>
          </c:val>
        </c:ser>
        <c:ser>
          <c:idx val="1"/>
          <c:order val="1"/>
          <c:tx>
            <c:v>Fulfilled revenue</c:v>
          </c:tx>
          <c:spPr>
            <a:solidFill>
              <a:srgbClr val="008C95"/>
            </a:solidFill>
          </c:spPr>
          <c:cat>
            <c:strRef>
              <c:f>'Channel Summary'!$A$7:$A$9</c:f>
              <c:strCache>
                <c:ptCount val="3"/>
                <c:pt idx="0">
                  <c:v>Google Ads</c:v>
                </c:pt>
                <c:pt idx="1">
                  <c:v>Direct &amp; Organic</c:v>
                </c:pt>
                <c:pt idx="2">
                  <c:v>Referral</c:v>
                </c:pt>
              </c:strCache>
            </c:strRef>
          </c:cat>
          <c:val>
            <c:numRef>
              <c:f>'Channel Summary'!$E$7:$E$9</c:f>
              <c:numCache>
                <c:formatCode>General</c:formatCode>
                <c:ptCount val="3"/>
                <c:pt idx="0">
                  <c:v>510707.5</c:v>
                </c:pt>
                <c:pt idx="1">
                  <c:v>1307528.85</c:v>
                </c:pt>
                <c:pt idx="2">
                  <c:v>273228.94</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spPr>
            <a:ln>
              <a:solidFill>
                <a:srgbClr val="E6EDF2"/>
              </a:solidFill>
            </a:ln>
          </c:spPr>
        </c:majorGridlines>
        <c:numFmt formatCode="₱#,##0"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aseline="0">
                <a:solidFill>
                  <a:srgbClr val="17324D"/>
                </a:solidFill>
              </a:defRPr>
            </a:pPr>
            <a:r>
              <a:rPr lang="en-US" sz="1200" baseline="0">
                <a:solidFill>
                  <a:srgbClr val="17324D"/>
                </a:solidFill>
              </a:rPr>
              <a:t>Daily net order value | unequal week lengths</a:t>
            </a:r>
          </a:p>
        </c:rich>
      </c:tx>
      <c:layout/>
    </c:title>
    <c:plotArea>
      <c:layout/>
      <c:lineChart>
        <c:grouping val="standard"/>
        <c:ser>
          <c:idx val="0"/>
          <c:order val="0"/>
          <c:tx>
            <c:v>Net sales / days</c:v>
          </c:tx>
          <c:spPr>
            <a:ln w="38100">
              <a:solidFill>
                <a:srgbClr val="008C95"/>
              </a:solidFill>
            </a:ln>
          </c:spPr>
          <c:marker>
            <c:symbol val="circle"/>
          </c:marker>
          <c:cat>
            <c:strRef>
              <c:f>'Chart Data'!$A$2:$A$5</c:f>
              <c:strCache>
                <c:ptCount val="4"/>
                <c:pt idx="0">
                  <c:v>Week 1</c:v>
                </c:pt>
                <c:pt idx="1">
                  <c:v>Week 2</c:v>
                </c:pt>
                <c:pt idx="2">
                  <c:v>Week 3</c:v>
                </c:pt>
                <c:pt idx="3">
                  <c:v>Week 4 (partial)</c:v>
                </c:pt>
              </c:strCache>
            </c:strRef>
          </c:cat>
          <c:val>
            <c:numRef>
              <c:f>'Chart Data'!$H$2:$H$5</c:f>
              <c:numCache>
                <c:formatCode>General</c:formatCode>
                <c:ptCount val="4"/>
                <c:pt idx="0">
                  <c:v>200928.6</c:v>
                </c:pt>
                <c:pt idx="1">
                  <c:v>216153.7857142857</c:v>
                </c:pt>
                <c:pt idx="2">
                  <c:v>196039.12000000002</c:v>
                </c:pt>
                <c:pt idx="3">
                  <c:v>169321.90333333335</c:v>
                </c:pt>
              </c:numCache>
            </c:numRef>
          </c:val>
        </c:ser>
        <c:marker val="1"/>
        <c:axId val="50030001"/>
        <c:axId val="50030002"/>
      </c:line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spPr>
            <a:ln>
              <a:solidFill>
                <a:srgbClr val="E6EDF2"/>
              </a:solidFill>
            </a:ln>
          </c:spPr>
        </c:majorGridlines>
        <c:numFmt formatCode="₱#,##0" sourceLinked="0"/>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200" baseline="0">
                <a:solidFill>
                  <a:srgbClr val="17324D"/>
                </a:solidFill>
              </a:defRPr>
            </a:pPr>
            <a:r>
              <a:rPr lang="en-US" sz="1200" baseline="0">
                <a:solidFill>
                  <a:srgbClr val="17324D"/>
                </a:solidFill>
              </a:rPr>
              <a:t>Net sales by backend customer type</a:t>
            </a:r>
          </a:p>
        </c:rich>
      </c:tx>
      <c:layout/>
    </c:title>
    <c:plotArea>
      <c:layout/>
      <c:barChart>
        <c:barDir val="bar"/>
        <c:grouping val="clustered"/>
        <c:ser>
          <c:idx val="0"/>
          <c:order val="0"/>
          <c:tx>
            <c:v>Net sales</c:v>
          </c:tx>
          <c:spPr>
            <a:solidFill>
              <a:srgbClr val="3975B8"/>
            </a:solidFill>
          </c:spPr>
          <c:cat>
            <c:strRef>
              <c:f>'Customer Type'!$A$7:$A$9</c:f>
              <c:strCache>
                <c:ptCount val="3"/>
                <c:pt idx="0">
                  <c:v>Chatbot</c:v>
                </c:pt>
                <c:pt idx="1">
                  <c:v>Fb</c:v>
                </c:pt>
                <c:pt idx="2">
                  <c:v>Website</c:v>
                </c:pt>
              </c:strCache>
            </c:strRef>
          </c:cat>
          <c:val>
            <c:numRef>
              <c:f>'Customer Type'!$C$7:$C$9</c:f>
              <c:numCache>
                <c:formatCode>General</c:formatCode>
                <c:ptCount val="3"/>
                <c:pt idx="0">
                  <c:v>71428.57</c:v>
                </c:pt>
                <c:pt idx="1">
                  <c:v>144461.16</c:v>
                </c:pt>
                <c:pt idx="2">
                  <c:v>4583926.52</c:v>
                </c:pt>
              </c:numCache>
            </c:numRef>
          </c:val>
        </c:ser>
        <c:axId val="50040001"/>
        <c:axId val="50040002"/>
      </c:barChart>
      <c:catAx>
        <c:axId val="50040001"/>
        <c:scaling>
          <c:orientation val="minMax"/>
        </c:scaling>
        <c:axPos val="l"/>
        <c:majorGridlines>
          <c:spPr>
            <a:ln>
              <a:solidFill>
                <a:srgbClr val="E6EDF2"/>
              </a:solidFill>
            </a:ln>
          </c:spPr>
        </c:majorGridlines>
        <c:numFmt formatCode="₱#,##0" sourceLinked="0"/>
        <c:tickLblPos val="nextTo"/>
        <c:crossAx val="50040002"/>
        <c:crosses val="autoZero"/>
        <c:auto val="1"/>
        <c:lblAlgn val="ctr"/>
        <c:lblOffset val="100"/>
      </c:catAx>
      <c:valAx>
        <c:axId val="50040002"/>
        <c:scaling>
          <c:orientation val="minMax"/>
        </c:scaling>
        <c:axPos val="b"/>
        <c:majorGridlines/>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5</xdr:col>
      <xdr:colOff>666750</xdr:colOff>
      <xdr:row>20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11</xdr:col>
      <xdr:colOff>666750</xdr:colOff>
      <xdr:row>20</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5</xdr:col>
      <xdr:colOff>666750</xdr:colOff>
      <xdr:row>36</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25</xdr:row>
      <xdr:rowOff>0</xdr:rowOff>
    </xdr:from>
    <xdr:to>
      <xdr:col>11</xdr:col>
      <xdr:colOff>666750</xdr:colOff>
      <xdr:row>36</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Table1" displayName="Table1" ref="A1:AB268" totalsRowShown="0">
  <autoFilter ref="A1:AB268"/>
  <tableColumns count="28">
    <tableColumn id="1" name="Channel"/>
    <tableColumn id="2" name="Session campaign"/>
    <tableColumn id="3" name="Order ID"/>
    <tableColumn id="4" name="Order date" dataDxfId="0"/>
    <tableColumn id="5" name="Week"/>
    <tableColumn id="6" name="Scope"/>
    <tableColumn id="7" name="Customer type"/>
    <tableColumn id="8" name="Customer source"/>
    <tableColumn id="9" name="Order status"/>
    <tableColumn id="10" name="Payment status"/>
    <tableColumn id="11" name="Net sales" dataDxfId="1"/>
    <tableColumn id="12" name="Fulfilled net revenue" dataDxfId="1"/>
    <tableColumn id="13" name="Gross order value" dataDxfId="1"/>
    <tableColumn id="14" name="Fulfilled flag"/>
    <tableColumn id="15" name="Cancelled flag"/>
    <tableColumn id="16" name="Open net value" dataDxfId="1"/>
    <tableColumn id="17" name="Cancelled net value" dataDxfId="1"/>
    <tableColumn id="18" name="Return refund net value" dataDxfId="1"/>
    <tableColumn id="19" name="Purchase events"/>
    <tableColumn id="20" name="Quantity"/>
    <tableColumn id="21" name="Brand"/>
    <tableColumn id="22" name="SKU"/>
    <tableColumn id="23" name="Page path + query string"/>
    <tableColumn id="24" name="Source file"/>
    <tableColumn id="25" name="Source CSV row"/>
    <tableColumn id="26" name="Backend loaded at"/>
    <tableColumn id="27" name="Backend updated at"/>
    <tableColumn id="28" name="Test order"/>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C69" totalsRowShown="0">
  <autoFilter ref="A1:C69"/>
  <tableColumns count="3">
    <tableColumn id="1" name="Session campaign"/>
    <tableColumn id="2" name="Page path + query string"/>
    <tableColumn id="3" name="Ecommerce purchases"/>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C172" totalsRowShown="0">
  <autoFilter ref="A1:C172"/>
  <tableColumns count="3">
    <tableColumn id="1" name="Session campaign"/>
    <tableColumn id="2" name="Page path + query string"/>
    <tableColumn id="3" name="Ecommerce purchases"/>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C29" totalsRowShown="0">
  <autoFilter ref="A1:C29"/>
  <tableColumns count="3">
    <tableColumn id="1" name="Session campaign"/>
    <tableColumn id="2" name="Page path + query string"/>
    <tableColumn id="3" name="Ecommerce purchases"/>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R265" totalsRowShown="0">
  <autoFilter ref="A1:R265"/>
  <tableColumns count="18">
    <tableColumn id="1" name="_ingest_loaded_at"/>
    <tableColumn id="2" name="brand"/>
    <tableColumn id="3" name="customer_source_raw"/>
    <tableColumn id="4" name="customer_type_norm"/>
    <tableColumn id="5" name="customer_type_raw"/>
    <tableColumn id="6" name="date_updated"/>
    <tableColumn id="7" name="gross_sales_amount"/>
    <tableColumn id="8" name="is_excluded_test_order"/>
    <tableColumn id="9" name="is_fulfilled_order"/>
    <tableColumn id="10" name="is_fulfillment_success_order"/>
    <tableColumn id="11" name="is_non_cancelled_order"/>
    <tableColumn id="12" name="net_sales_amount"/>
    <tableColumn id="13" name="order_date"/>
    <tableColumn id="14" name="order_id"/>
    <tableColumn id="15" name="order_status_raw"/>
    <tableColumn id="16" name="payment_status_raw"/>
    <tableColumn id="17" name="quantity_int"/>
    <tableColumn id="18" name="sku"/>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AB6" totalsRowShown="0">
  <autoFilter ref="A1:AB6"/>
  <tableColumns count="28">
    <tableColumn id="1" name="Channel"/>
    <tableColumn id="2" name="Session campaign"/>
    <tableColumn id="3" name="Order ID"/>
    <tableColumn id="4" name="Order date" dataDxfId="0"/>
    <tableColumn id="5" name="Week"/>
    <tableColumn id="6" name="Scope"/>
    <tableColumn id="7" name="Customer type"/>
    <tableColumn id="8" name="Customer source"/>
    <tableColumn id="9" name="Order status"/>
    <tableColumn id="10" name="Payment status"/>
    <tableColumn id="11" name="Net sales" dataDxfId="1"/>
    <tableColumn id="12" name="Fulfilled net revenue" dataDxfId="1"/>
    <tableColumn id="13" name="Gross order value" dataDxfId="1"/>
    <tableColumn id="14" name="Fulfilled flag"/>
    <tableColumn id="15" name="Cancelled flag"/>
    <tableColumn id="16" name="Open net value" dataDxfId="1"/>
    <tableColumn id="17" name="Cancelled net value" dataDxfId="1"/>
    <tableColumn id="18" name="Return refund net value" dataDxfId="1"/>
    <tableColumn id="19" name="Purchase events"/>
    <tableColumn id="20" name="Quantity"/>
    <tableColumn id="21" name="Brand"/>
    <tableColumn id="22" name="SKU"/>
    <tableColumn id="23" name="Page path + query string"/>
    <tableColumn id="24" name="Source file"/>
    <tableColumn id="25" name="Source CSV row"/>
    <tableColumn id="26" name="Backend loaded at"/>
    <tableColumn id="27" name="Backend updated at"/>
    <tableColumn id="28" name="Test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sheetPr>
    <tabColor rgb="FF008C95"/>
  </sheetPr>
  <dimension ref="A1:L60"/>
  <sheetViews>
    <sheetView showGridLines="0" tabSelected="1" workbookViewId="0"/>
  </sheetViews>
  <sheetFormatPr defaultRowHeight="20" customHeight="1"/>
  <cols>
    <col min="1" max="12" width="13.7109375" customWidth="1"/>
  </cols>
  <sheetData>
    <row r="1" spans="1:12" ht="20" customHeight="1">
      <c r="A1" s="1" t="s">
        <v>0</v>
      </c>
      <c r="B1" s="1"/>
      <c r="C1" s="1"/>
      <c r="D1" s="1"/>
      <c r="E1" s="1"/>
      <c r="F1" s="1"/>
      <c r="G1" s="1"/>
      <c r="H1" s="1"/>
      <c r="I1" s="1"/>
      <c r="J1" s="1"/>
      <c r="K1" s="1"/>
      <c r="L1" s="1"/>
    </row>
    <row r="2" spans="1:12" ht="20" customHeight="1">
      <c r="A2" s="1"/>
      <c r="B2" s="1"/>
      <c r="C2" s="1"/>
      <c r="D2" s="1"/>
      <c r="E2" s="1"/>
      <c r="F2" s="1"/>
      <c r="G2" s="1"/>
      <c r="H2" s="1"/>
      <c r="I2" s="1"/>
      <c r="J2" s="1"/>
      <c r="K2" s="1"/>
      <c r="L2" s="1"/>
    </row>
    <row r="3" spans="1:12" ht="23" customHeight="1">
      <c r="A3" s="2" t="s">
        <v>1</v>
      </c>
      <c r="B3" s="2"/>
      <c r="C3" s="2"/>
      <c r="D3" s="2"/>
      <c r="E3" s="2"/>
      <c r="F3" s="2"/>
      <c r="G3" s="2"/>
      <c r="H3" s="2"/>
      <c r="I3" s="2"/>
      <c r="J3" s="2"/>
      <c r="K3" s="2"/>
      <c r="L3" s="2"/>
    </row>
    <row r="4" spans="1:12" ht="20" customHeight="1">
      <c r="A4" s="2"/>
      <c r="B4" s="2"/>
      <c r="C4" s="2"/>
      <c r="D4" s="2"/>
      <c r="E4" s="2"/>
      <c r="F4" s="2"/>
      <c r="G4" s="2"/>
      <c r="H4" s="2"/>
      <c r="I4" s="2"/>
      <c r="J4" s="2"/>
      <c r="K4" s="2"/>
      <c r="L4" s="2"/>
    </row>
    <row r="6" spans="1:12" ht="20" customHeight="1">
      <c r="A6" s="3" t="s">
        <v>1749</v>
      </c>
      <c r="B6" s="3"/>
      <c r="C6" s="3"/>
      <c r="D6" s="3" t="s">
        <v>1750</v>
      </c>
      <c r="E6" s="3"/>
      <c r="F6" s="3"/>
      <c r="G6" s="3" t="s">
        <v>1751</v>
      </c>
      <c r="H6" s="3"/>
      <c r="I6" s="3"/>
      <c r="J6" s="3" t="s">
        <v>1752</v>
      </c>
      <c r="K6" s="3"/>
      <c r="L6" s="3"/>
    </row>
    <row r="7" spans="1:12" ht="20" customHeight="1">
      <c r="A7" s="4">
        <v>4799816.25</v>
      </c>
      <c r="B7" s="4"/>
      <c r="C7" s="4"/>
      <c r="D7" s="4">
        <v>2091465.29</v>
      </c>
      <c r="E7" s="4"/>
      <c r="F7" s="4"/>
      <c r="G7" s="4">
        <v>1332416.82</v>
      </c>
      <c r="H7" s="4"/>
      <c r="I7" s="4"/>
      <c r="J7" s="4">
        <v>1293776.99</v>
      </c>
      <c r="K7" s="4"/>
      <c r="L7" s="4"/>
    </row>
    <row r="8" spans="1:12" ht="20" customHeight="1">
      <c r="A8" s="4"/>
      <c r="B8" s="4"/>
      <c r="C8" s="4"/>
      <c r="D8" s="4"/>
      <c r="E8" s="4"/>
      <c r="F8" s="4"/>
      <c r="G8" s="4"/>
      <c r="H8" s="4"/>
      <c r="I8" s="4"/>
      <c r="J8" s="4"/>
      <c r="K8" s="4"/>
      <c r="L8" s="4"/>
    </row>
    <row r="43" spans="1:12" ht="20" customHeight="1">
      <c r="A43" s="5" t="s">
        <v>1753</v>
      </c>
      <c r="B43" s="5"/>
      <c r="C43" s="5"/>
      <c r="D43" s="5"/>
      <c r="E43" s="5"/>
      <c r="F43" s="5"/>
      <c r="G43" s="5"/>
      <c r="H43" s="5"/>
      <c r="I43" s="5"/>
      <c r="J43" s="5"/>
      <c r="K43" s="5"/>
      <c r="L43" s="5"/>
    </row>
    <row r="45" spans="1:12" ht="20" customHeight="1">
      <c r="A45" s="6" t="s">
        <v>1754</v>
      </c>
      <c r="B45" s="6"/>
      <c r="C45" s="6"/>
      <c r="D45" s="6"/>
      <c r="E45" s="6"/>
      <c r="F45" s="6"/>
      <c r="G45" s="6"/>
      <c r="H45" s="6"/>
      <c r="I45" s="6"/>
      <c r="J45" s="6"/>
      <c r="K45" s="6"/>
      <c r="L45" s="6"/>
    </row>
    <row r="46" spans="1:12" ht="20" customHeight="1">
      <c r="A46" s="6"/>
      <c r="B46" s="6"/>
      <c r="C46" s="6"/>
      <c r="D46" s="6"/>
      <c r="E46" s="6"/>
      <c r="F46" s="6"/>
      <c r="G46" s="6"/>
      <c r="H46" s="6"/>
      <c r="I46" s="6"/>
      <c r="J46" s="6"/>
      <c r="K46" s="6"/>
      <c r="L46" s="6"/>
    </row>
    <row r="47" spans="1:12" ht="20" customHeight="1">
      <c r="A47" s="6" t="s">
        <v>1755</v>
      </c>
      <c r="B47" s="6"/>
      <c r="C47" s="6"/>
      <c r="D47" s="6"/>
      <c r="E47" s="6"/>
      <c r="F47" s="6"/>
      <c r="G47" s="6"/>
      <c r="H47" s="6"/>
      <c r="I47" s="6"/>
      <c r="J47" s="6"/>
      <c r="K47" s="6"/>
      <c r="L47" s="6"/>
    </row>
    <row r="48" spans="1:12" ht="20" customHeight="1">
      <c r="A48" s="6"/>
      <c r="B48" s="6"/>
      <c r="C48" s="6"/>
      <c r="D48" s="6"/>
      <c r="E48" s="6"/>
      <c r="F48" s="6"/>
      <c r="G48" s="6"/>
      <c r="H48" s="6"/>
      <c r="I48" s="6"/>
      <c r="J48" s="6"/>
      <c r="K48" s="6"/>
      <c r="L48" s="6"/>
    </row>
    <row r="49" spans="1:12" ht="20" customHeight="1">
      <c r="A49" s="6" t="s">
        <v>1756</v>
      </c>
      <c r="B49" s="6"/>
      <c r="C49" s="6"/>
      <c r="D49" s="6"/>
      <c r="E49" s="6"/>
      <c r="F49" s="6"/>
      <c r="G49" s="6"/>
      <c r="H49" s="6"/>
      <c r="I49" s="6"/>
      <c r="J49" s="6"/>
      <c r="K49" s="6"/>
      <c r="L49" s="6"/>
    </row>
    <row r="50" spans="1:12" ht="20" customHeight="1">
      <c r="A50" s="6"/>
      <c r="B50" s="6"/>
      <c r="C50" s="6"/>
      <c r="D50" s="6"/>
      <c r="E50" s="6"/>
      <c r="F50" s="6"/>
      <c r="G50" s="6"/>
      <c r="H50" s="6"/>
      <c r="I50" s="6"/>
      <c r="J50" s="6"/>
      <c r="K50" s="6"/>
      <c r="L50" s="6"/>
    </row>
    <row r="51" spans="1:12" ht="20" customHeight="1">
      <c r="A51" s="6" t="s">
        <v>1757</v>
      </c>
      <c r="B51" s="6"/>
      <c r="C51" s="6"/>
      <c r="D51" s="6"/>
      <c r="E51" s="6"/>
      <c r="F51" s="6"/>
      <c r="G51" s="6"/>
      <c r="H51" s="6"/>
      <c r="I51" s="6"/>
      <c r="J51" s="6"/>
      <c r="K51" s="6"/>
      <c r="L51" s="6"/>
    </row>
    <row r="52" spans="1:12" ht="20" customHeight="1">
      <c r="A52" s="6"/>
      <c r="B52" s="6"/>
      <c r="C52" s="6"/>
      <c r="D52" s="6"/>
      <c r="E52" s="6"/>
      <c r="F52" s="6"/>
      <c r="G52" s="6"/>
      <c r="H52" s="6"/>
      <c r="I52" s="6"/>
      <c r="J52" s="6"/>
      <c r="K52" s="6"/>
      <c r="L52" s="6"/>
    </row>
    <row r="53" spans="1:12" ht="20" customHeight="1">
      <c r="A53" s="6" t="s">
        <v>1758</v>
      </c>
      <c r="B53" s="6"/>
      <c r="C53" s="6"/>
      <c r="D53" s="6"/>
      <c r="E53" s="6"/>
      <c r="F53" s="6"/>
      <c r="G53" s="6"/>
      <c r="H53" s="6"/>
      <c r="I53" s="6"/>
      <c r="J53" s="6"/>
      <c r="K53" s="6"/>
      <c r="L53" s="6"/>
    </row>
    <row r="54" spans="1:12" ht="20" customHeight="1">
      <c r="A54" s="6"/>
      <c r="B54" s="6"/>
      <c r="C54" s="6"/>
      <c r="D54" s="6"/>
      <c r="E54" s="6"/>
      <c r="F54" s="6"/>
      <c r="G54" s="6"/>
      <c r="H54" s="6"/>
      <c r="I54" s="6"/>
      <c r="J54" s="6"/>
      <c r="K54" s="6"/>
      <c r="L54" s="6"/>
    </row>
    <row r="55" spans="1:12" ht="20" customHeight="1">
      <c r="A55" s="6" t="s">
        <v>1759</v>
      </c>
      <c r="B55" s="6"/>
      <c r="C55" s="6"/>
      <c r="D55" s="6"/>
      <c r="E55" s="6"/>
      <c r="F55" s="6"/>
      <c r="G55" s="6"/>
      <c r="H55" s="6"/>
      <c r="I55" s="6"/>
      <c r="J55" s="6"/>
      <c r="K55" s="6"/>
      <c r="L55" s="6"/>
    </row>
    <row r="56" spans="1:12" ht="20" customHeight="1">
      <c r="A56" s="6"/>
      <c r="B56" s="6"/>
      <c r="C56" s="6"/>
      <c r="D56" s="6"/>
      <c r="E56" s="6"/>
      <c r="F56" s="6"/>
      <c r="G56" s="6"/>
      <c r="H56" s="6"/>
      <c r="I56" s="6"/>
      <c r="J56" s="6"/>
      <c r="K56" s="6"/>
      <c r="L56" s="6"/>
    </row>
    <row r="57" spans="1:12" ht="20" customHeight="1">
      <c r="A57" s="6" t="s">
        <v>1760</v>
      </c>
      <c r="B57" s="6"/>
      <c r="C57" s="6"/>
      <c r="D57" s="6"/>
      <c r="E57" s="6"/>
      <c r="F57" s="6"/>
      <c r="G57" s="6"/>
      <c r="H57" s="6"/>
      <c r="I57" s="6"/>
      <c r="J57" s="6"/>
      <c r="K57" s="6"/>
      <c r="L57" s="6"/>
    </row>
    <row r="58" spans="1:12" ht="20" customHeight="1">
      <c r="A58" s="6"/>
      <c r="B58" s="6"/>
      <c r="C58" s="6"/>
      <c r="D58" s="6"/>
      <c r="E58" s="6"/>
      <c r="F58" s="6"/>
      <c r="G58" s="6"/>
      <c r="H58" s="6"/>
      <c r="I58" s="6"/>
      <c r="J58" s="6"/>
      <c r="K58" s="6"/>
      <c r="L58" s="6"/>
    </row>
    <row r="59" spans="1:12" ht="20" customHeight="1">
      <c r="A59" s="6" t="s">
        <v>1761</v>
      </c>
      <c r="B59" s="6"/>
      <c r="C59" s="6"/>
      <c r="D59" s="6"/>
      <c r="E59" s="6"/>
      <c r="F59" s="6"/>
      <c r="G59" s="6"/>
      <c r="H59" s="6"/>
      <c r="I59" s="6"/>
      <c r="J59" s="6"/>
      <c r="K59" s="6"/>
      <c r="L59" s="6"/>
    </row>
    <row r="60" spans="1:12" ht="20" customHeight="1">
      <c r="A60" s="6"/>
      <c r="B60" s="6"/>
      <c r="C60" s="6"/>
      <c r="D60" s="6"/>
      <c r="E60" s="6"/>
      <c r="F60" s="6"/>
      <c r="G60" s="6"/>
      <c r="H60" s="6"/>
      <c r="I60" s="6"/>
      <c r="J60" s="6"/>
      <c r="K60" s="6"/>
      <c r="L60" s="6"/>
    </row>
  </sheetData>
  <mergeCells count="19">
    <mergeCell ref="A1:L2"/>
    <mergeCell ref="A3:L4"/>
    <mergeCell ref="A6:C6"/>
    <mergeCell ref="A7:C8"/>
    <mergeCell ref="D6:F6"/>
    <mergeCell ref="D7:F8"/>
    <mergeCell ref="G6:I6"/>
    <mergeCell ref="G7:I8"/>
    <mergeCell ref="J6:L6"/>
    <mergeCell ref="J7:L8"/>
    <mergeCell ref="A43:L43"/>
    <mergeCell ref="A45:L46"/>
    <mergeCell ref="A47:L48"/>
    <mergeCell ref="A49:L50"/>
    <mergeCell ref="A51:L52"/>
    <mergeCell ref="A53:L54"/>
    <mergeCell ref="A55:L56"/>
    <mergeCell ref="A57:L58"/>
    <mergeCell ref="A59:L60"/>
  </mergeCells>
  <pageMargins left="0.7" right="0.7" top="0.75" bottom="0.75" header="0.3" footer="0.3"/>
  <pageSetup scale="65" orientation="landscape"/>
  <drawing r:id="rId1"/>
</worksheet>
</file>

<file path=xl/worksheets/sheet2.xml><?xml version="1.0" encoding="utf-8"?>
<worksheet xmlns="http://schemas.openxmlformats.org/spreadsheetml/2006/main" xmlns:r="http://schemas.openxmlformats.org/officeDocument/2006/relationships">
  <sheetPr>
    <tabColor rgb="FF008C95"/>
    <pageSetUpPr fitToPage="1"/>
  </sheetPr>
  <dimension ref="A1:AB268"/>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20" customHeight="1"/>
  <cols>
    <col min="1" max="21" width="19.7109375" customWidth="1"/>
    <col min="22" max="24" width="45.7109375" customWidth="1"/>
    <col min="25" max="28" width="19.7109375" customWidth="1"/>
  </cols>
  <sheetData>
    <row r="1" spans="1:28" ht="20" customHeight="1">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row>
    <row r="2" spans="1:28" ht="20" customHeight="1">
      <c r="A2" t="s">
        <v>30</v>
      </c>
      <c r="B2" t="s">
        <v>31</v>
      </c>
      <c r="C2" t="s">
        <v>32</v>
      </c>
      <c r="D2" s="7">
        <v>46286.79166666666</v>
      </c>
      <c r="E2" t="s">
        <v>33</v>
      </c>
      <c r="F2" t="s">
        <v>34</v>
      </c>
      <c r="G2" t="s">
        <v>35</v>
      </c>
      <c r="I2" t="s">
        <v>36</v>
      </c>
      <c r="J2" t="s">
        <v>37</v>
      </c>
      <c r="K2" s="8">
        <v>8473.129999999999</v>
      </c>
      <c r="L2" s="8">
        <v>0</v>
      </c>
      <c r="M2" s="8">
        <v>9489.9</v>
      </c>
      <c r="N2">
        <v>0</v>
      </c>
      <c r="O2">
        <v>0</v>
      </c>
      <c r="P2" s="8">
        <v>8473.129999999999</v>
      </c>
      <c r="Q2" s="8">
        <v>0</v>
      </c>
      <c r="R2" s="8">
        <v>0</v>
      </c>
      <c r="S2">
        <v>4</v>
      </c>
      <c r="T2">
        <v>2</v>
      </c>
      <c r="U2" t="s">
        <v>38</v>
      </c>
      <c r="V2" t="s">
        <v>39</v>
      </c>
      <c r="W2" t="s">
        <v>40</v>
      </c>
      <c r="X2" t="s">
        <v>41</v>
      </c>
      <c r="Y2">
        <v>2</v>
      </c>
      <c r="Z2" t="s">
        <v>42</v>
      </c>
      <c r="AA2" t="s">
        <v>43</v>
      </c>
      <c r="AB2" t="s">
        <v>44</v>
      </c>
    </row>
    <row r="3" spans="1:28" ht="20" customHeight="1">
      <c r="A3" t="s">
        <v>30</v>
      </c>
      <c r="B3" t="s">
        <v>45</v>
      </c>
      <c r="C3" t="s">
        <v>46</v>
      </c>
      <c r="D3" s="7">
        <v>46270.54861111111</v>
      </c>
      <c r="E3" t="s">
        <v>47</v>
      </c>
      <c r="F3" t="s">
        <v>34</v>
      </c>
      <c r="G3" t="s">
        <v>35</v>
      </c>
      <c r="I3" t="s">
        <v>48</v>
      </c>
      <c r="J3" t="s">
        <v>49</v>
      </c>
      <c r="K3" s="8">
        <v>37973.21</v>
      </c>
      <c r="L3" s="8">
        <v>37973.21</v>
      </c>
      <c r="M3" s="8">
        <v>42530</v>
      </c>
      <c r="N3">
        <v>1</v>
      </c>
      <c r="O3">
        <v>0</v>
      </c>
      <c r="P3" s="8">
        <v>0</v>
      </c>
      <c r="Q3" s="8">
        <v>0</v>
      </c>
      <c r="R3" s="8">
        <v>0</v>
      </c>
      <c r="S3">
        <v>2</v>
      </c>
      <c r="T3">
        <v>4</v>
      </c>
      <c r="U3" t="s">
        <v>50</v>
      </c>
      <c r="V3" t="s">
        <v>51</v>
      </c>
      <c r="W3" t="s">
        <v>52</v>
      </c>
      <c r="X3" t="s">
        <v>41</v>
      </c>
      <c r="Y3">
        <v>3</v>
      </c>
      <c r="Z3" t="s">
        <v>42</v>
      </c>
      <c r="AA3" t="s">
        <v>53</v>
      </c>
      <c r="AB3" t="s">
        <v>44</v>
      </c>
    </row>
    <row r="4" spans="1:28" ht="20" customHeight="1">
      <c r="A4" t="s">
        <v>30</v>
      </c>
      <c r="B4" t="s">
        <v>54</v>
      </c>
      <c r="C4" t="s">
        <v>55</v>
      </c>
      <c r="D4" s="7">
        <v>46276.73263888889</v>
      </c>
      <c r="E4" t="s">
        <v>56</v>
      </c>
      <c r="F4" t="s">
        <v>34</v>
      </c>
      <c r="G4" t="s">
        <v>35</v>
      </c>
      <c r="I4" t="s">
        <v>48</v>
      </c>
      <c r="J4" t="s">
        <v>49</v>
      </c>
      <c r="K4" s="8">
        <v>7095.27</v>
      </c>
      <c r="L4" s="8">
        <v>7095.27</v>
      </c>
      <c r="M4" s="8">
        <v>7946.7</v>
      </c>
      <c r="N4">
        <v>1</v>
      </c>
      <c r="O4">
        <v>0</v>
      </c>
      <c r="P4" s="8">
        <v>0</v>
      </c>
      <c r="Q4" s="8">
        <v>0</v>
      </c>
      <c r="R4" s="8">
        <v>0</v>
      </c>
      <c r="S4">
        <v>2</v>
      </c>
      <c r="T4">
        <v>3</v>
      </c>
      <c r="U4" t="s">
        <v>57</v>
      </c>
      <c r="V4" t="s">
        <v>58</v>
      </c>
      <c r="W4" t="s">
        <v>59</v>
      </c>
      <c r="X4" t="s">
        <v>41</v>
      </c>
      <c r="Y4">
        <v>4</v>
      </c>
      <c r="Z4" t="s">
        <v>42</v>
      </c>
      <c r="AA4" t="s">
        <v>60</v>
      </c>
      <c r="AB4" t="s">
        <v>44</v>
      </c>
    </row>
    <row r="5" spans="1:28" ht="20" customHeight="1">
      <c r="A5" t="s">
        <v>30</v>
      </c>
      <c r="B5" t="s">
        <v>61</v>
      </c>
      <c r="C5" t="s">
        <v>62</v>
      </c>
      <c r="D5" s="7">
        <v>46279.67847222222</v>
      </c>
      <c r="E5" t="s">
        <v>56</v>
      </c>
      <c r="F5" t="s">
        <v>34</v>
      </c>
      <c r="G5" t="s">
        <v>35</v>
      </c>
      <c r="H5" t="s">
        <v>63</v>
      </c>
      <c r="I5" t="s">
        <v>48</v>
      </c>
      <c r="J5" t="s">
        <v>49</v>
      </c>
      <c r="K5" s="8">
        <v>37191.96</v>
      </c>
      <c r="L5" s="8">
        <v>37191.96</v>
      </c>
      <c r="M5" s="8">
        <v>41655</v>
      </c>
      <c r="N5">
        <v>1</v>
      </c>
      <c r="O5">
        <v>0</v>
      </c>
      <c r="P5" s="8">
        <v>0</v>
      </c>
      <c r="Q5" s="8">
        <v>0</v>
      </c>
      <c r="R5" s="8">
        <v>0</v>
      </c>
      <c r="S5">
        <v>2</v>
      </c>
      <c r="T5">
        <v>4</v>
      </c>
      <c r="U5" t="s">
        <v>50</v>
      </c>
      <c r="V5" t="s">
        <v>64</v>
      </c>
      <c r="W5" t="s">
        <v>65</v>
      </c>
      <c r="X5" t="s">
        <v>41</v>
      </c>
      <c r="Y5">
        <v>5</v>
      </c>
      <c r="Z5" t="s">
        <v>42</v>
      </c>
      <c r="AA5" t="s">
        <v>66</v>
      </c>
      <c r="AB5" t="s">
        <v>44</v>
      </c>
    </row>
    <row r="6" spans="1:28" ht="20" customHeight="1">
      <c r="A6" t="s">
        <v>30</v>
      </c>
      <c r="B6" t="s">
        <v>61</v>
      </c>
      <c r="C6" t="s">
        <v>67</v>
      </c>
      <c r="D6" s="7">
        <v>46279.73819444444</v>
      </c>
      <c r="E6" t="s">
        <v>56</v>
      </c>
      <c r="F6" t="s">
        <v>34</v>
      </c>
      <c r="G6" t="s">
        <v>35</v>
      </c>
      <c r="H6" t="s">
        <v>35</v>
      </c>
      <c r="I6" t="s">
        <v>68</v>
      </c>
      <c r="J6" t="s">
        <v>69</v>
      </c>
      <c r="K6" s="8">
        <v>26661.61</v>
      </c>
      <c r="L6" s="8">
        <v>0</v>
      </c>
      <c r="M6" s="8">
        <v>29861</v>
      </c>
      <c r="N6">
        <v>0</v>
      </c>
      <c r="O6">
        <v>0</v>
      </c>
      <c r="P6" s="8">
        <v>26661.61</v>
      </c>
      <c r="Q6" s="8">
        <v>0</v>
      </c>
      <c r="R6" s="8">
        <v>0</v>
      </c>
      <c r="S6">
        <v>2</v>
      </c>
      <c r="T6">
        <v>4</v>
      </c>
      <c r="U6" t="s">
        <v>70</v>
      </c>
      <c r="V6" t="s">
        <v>71</v>
      </c>
      <c r="W6" t="s">
        <v>72</v>
      </c>
      <c r="X6" t="s">
        <v>41</v>
      </c>
      <c r="Y6">
        <v>6</v>
      </c>
      <c r="Z6" t="s">
        <v>42</v>
      </c>
      <c r="AA6" t="s">
        <v>73</v>
      </c>
      <c r="AB6" t="s">
        <v>44</v>
      </c>
    </row>
    <row r="7" spans="1:28" ht="20" customHeight="1">
      <c r="A7" t="s">
        <v>30</v>
      </c>
      <c r="B7" t="s">
        <v>45</v>
      </c>
      <c r="C7" t="s">
        <v>74</v>
      </c>
      <c r="D7" s="7">
        <v>46280.60486111111</v>
      </c>
      <c r="E7" t="s">
        <v>33</v>
      </c>
      <c r="F7" t="s">
        <v>34</v>
      </c>
      <c r="G7" t="s">
        <v>35</v>
      </c>
      <c r="H7" t="s">
        <v>35</v>
      </c>
      <c r="I7" t="s">
        <v>48</v>
      </c>
      <c r="J7" t="s">
        <v>49</v>
      </c>
      <c r="K7" s="8">
        <v>11506.7</v>
      </c>
      <c r="L7" s="8">
        <v>11506.7</v>
      </c>
      <c r="M7" s="8">
        <v>12887.5</v>
      </c>
      <c r="N7">
        <v>1</v>
      </c>
      <c r="O7">
        <v>0</v>
      </c>
      <c r="P7" s="8">
        <v>0</v>
      </c>
      <c r="Q7" s="8">
        <v>0</v>
      </c>
      <c r="R7" s="8">
        <v>0</v>
      </c>
      <c r="S7">
        <v>2</v>
      </c>
      <c r="T7">
        <v>5</v>
      </c>
      <c r="U7" t="s">
        <v>75</v>
      </c>
      <c r="V7" t="s">
        <v>76</v>
      </c>
      <c r="W7" t="s">
        <v>77</v>
      </c>
      <c r="X7" t="s">
        <v>41</v>
      </c>
      <c r="Y7">
        <v>7</v>
      </c>
      <c r="Z7" t="s">
        <v>42</v>
      </c>
      <c r="AA7" t="s">
        <v>78</v>
      </c>
      <c r="AB7" t="s">
        <v>44</v>
      </c>
    </row>
    <row r="8" spans="1:28" ht="20" customHeight="1">
      <c r="A8" t="s">
        <v>30</v>
      </c>
      <c r="B8" t="s">
        <v>31</v>
      </c>
      <c r="C8" t="s">
        <v>79</v>
      </c>
      <c r="D8" s="7">
        <v>46281.46458333333</v>
      </c>
      <c r="E8" t="s">
        <v>33</v>
      </c>
      <c r="F8" t="s">
        <v>34</v>
      </c>
      <c r="G8" t="s">
        <v>35</v>
      </c>
      <c r="I8" t="s">
        <v>36</v>
      </c>
      <c r="J8" t="s">
        <v>37</v>
      </c>
      <c r="K8" s="8">
        <v>15083.75</v>
      </c>
      <c r="L8" s="8">
        <v>0</v>
      </c>
      <c r="M8" s="8">
        <v>16893.8</v>
      </c>
      <c r="N8">
        <v>0</v>
      </c>
      <c r="O8">
        <v>0</v>
      </c>
      <c r="P8" s="8">
        <v>15083.75</v>
      </c>
      <c r="Q8" s="8">
        <v>0</v>
      </c>
      <c r="R8" s="8">
        <v>0</v>
      </c>
      <c r="S8">
        <v>2</v>
      </c>
      <c r="T8">
        <v>4</v>
      </c>
      <c r="U8" t="s">
        <v>80</v>
      </c>
      <c r="V8" t="s">
        <v>81</v>
      </c>
      <c r="W8" t="s">
        <v>82</v>
      </c>
      <c r="X8" t="s">
        <v>41</v>
      </c>
      <c r="Y8">
        <v>8</v>
      </c>
      <c r="Z8" t="s">
        <v>42</v>
      </c>
      <c r="AA8" t="s">
        <v>83</v>
      </c>
      <c r="AB8" t="s">
        <v>44</v>
      </c>
    </row>
    <row r="9" spans="1:28" ht="20" customHeight="1">
      <c r="A9" t="s">
        <v>30</v>
      </c>
      <c r="B9" t="s">
        <v>84</v>
      </c>
      <c r="C9" t="s">
        <v>85</v>
      </c>
      <c r="D9" s="7">
        <v>46281.46527777778</v>
      </c>
      <c r="E9" t="s">
        <v>33</v>
      </c>
      <c r="F9" t="s">
        <v>34</v>
      </c>
      <c r="G9" t="s">
        <v>35</v>
      </c>
      <c r="H9" t="s">
        <v>35</v>
      </c>
      <c r="I9" t="s">
        <v>36</v>
      </c>
      <c r="J9" t="s">
        <v>37</v>
      </c>
      <c r="K9" s="8">
        <v>151683.75</v>
      </c>
      <c r="L9" s="8">
        <v>0</v>
      </c>
      <c r="M9" s="8">
        <v>169885.8</v>
      </c>
      <c r="N9">
        <v>0</v>
      </c>
      <c r="O9">
        <v>0</v>
      </c>
      <c r="P9" s="8">
        <v>151683.75</v>
      </c>
      <c r="Q9" s="8">
        <v>0</v>
      </c>
      <c r="R9" s="8">
        <v>0</v>
      </c>
      <c r="S9">
        <v>2</v>
      </c>
      <c r="T9">
        <v>12</v>
      </c>
      <c r="U9" t="s">
        <v>86</v>
      </c>
      <c r="V9" t="s">
        <v>87</v>
      </c>
      <c r="W9" t="s">
        <v>88</v>
      </c>
      <c r="X9" t="s">
        <v>41</v>
      </c>
      <c r="Y9">
        <v>9</v>
      </c>
      <c r="Z9" t="s">
        <v>42</v>
      </c>
      <c r="AA9" t="s">
        <v>89</v>
      </c>
      <c r="AB9" t="s">
        <v>44</v>
      </c>
    </row>
    <row r="10" spans="1:28" ht="20" customHeight="1">
      <c r="A10" t="s">
        <v>30</v>
      </c>
      <c r="B10" t="s">
        <v>61</v>
      </c>
      <c r="C10" t="s">
        <v>90</v>
      </c>
      <c r="D10" s="7">
        <v>46281.58541666667</v>
      </c>
      <c r="E10" t="s">
        <v>33</v>
      </c>
      <c r="F10" t="s">
        <v>34</v>
      </c>
      <c r="G10" t="s">
        <v>35</v>
      </c>
      <c r="I10" t="s">
        <v>36</v>
      </c>
      <c r="J10" t="s">
        <v>37</v>
      </c>
      <c r="K10" s="8">
        <v>45707.95</v>
      </c>
      <c r="L10" s="8">
        <v>0</v>
      </c>
      <c r="M10" s="8">
        <v>51192.9</v>
      </c>
      <c r="N10">
        <v>0</v>
      </c>
      <c r="O10">
        <v>0</v>
      </c>
      <c r="P10" s="8">
        <v>45707.95</v>
      </c>
      <c r="Q10" s="8">
        <v>0</v>
      </c>
      <c r="R10" s="8">
        <v>0</v>
      </c>
      <c r="S10">
        <v>2</v>
      </c>
      <c r="T10">
        <v>2</v>
      </c>
      <c r="U10" t="s">
        <v>86</v>
      </c>
      <c r="V10" t="s">
        <v>91</v>
      </c>
      <c r="W10" t="s">
        <v>92</v>
      </c>
      <c r="X10" t="s">
        <v>41</v>
      </c>
      <c r="Y10">
        <v>10</v>
      </c>
      <c r="Z10" t="s">
        <v>42</v>
      </c>
      <c r="AA10" t="s">
        <v>93</v>
      </c>
      <c r="AB10" t="s">
        <v>44</v>
      </c>
    </row>
    <row r="11" spans="1:28" ht="20" customHeight="1">
      <c r="A11" t="s">
        <v>30</v>
      </c>
      <c r="B11" t="s">
        <v>61</v>
      </c>
      <c r="C11" t="s">
        <v>94</v>
      </c>
      <c r="D11" s="7">
        <v>46281.59305555555</v>
      </c>
      <c r="E11" t="s">
        <v>33</v>
      </c>
      <c r="F11" t="s">
        <v>34</v>
      </c>
      <c r="G11" t="s">
        <v>35</v>
      </c>
      <c r="I11" t="s">
        <v>36</v>
      </c>
      <c r="J11" t="s">
        <v>37</v>
      </c>
      <c r="K11" s="8">
        <v>45707.95</v>
      </c>
      <c r="L11" s="8">
        <v>0</v>
      </c>
      <c r="M11" s="8">
        <v>51192.9</v>
      </c>
      <c r="N11">
        <v>0</v>
      </c>
      <c r="O11">
        <v>0</v>
      </c>
      <c r="P11" s="8">
        <v>45707.95</v>
      </c>
      <c r="Q11" s="8">
        <v>0</v>
      </c>
      <c r="R11" s="8">
        <v>0</v>
      </c>
      <c r="S11">
        <v>2</v>
      </c>
      <c r="T11">
        <v>2</v>
      </c>
      <c r="U11" t="s">
        <v>86</v>
      </c>
      <c r="V11" t="s">
        <v>91</v>
      </c>
      <c r="W11" t="s">
        <v>95</v>
      </c>
      <c r="X11" t="s">
        <v>41</v>
      </c>
      <c r="Y11">
        <v>11</v>
      </c>
      <c r="Z11" t="s">
        <v>42</v>
      </c>
      <c r="AA11" t="s">
        <v>93</v>
      </c>
      <c r="AB11" t="s">
        <v>44</v>
      </c>
    </row>
    <row r="12" spans="1:28" ht="20" customHeight="1">
      <c r="A12" t="s">
        <v>30</v>
      </c>
      <c r="B12" t="s">
        <v>31</v>
      </c>
      <c r="C12" t="s">
        <v>96</v>
      </c>
      <c r="D12" s="7">
        <v>46281.64027777778</v>
      </c>
      <c r="E12" t="s">
        <v>33</v>
      </c>
      <c r="F12" t="s">
        <v>34</v>
      </c>
      <c r="G12" t="s">
        <v>35</v>
      </c>
      <c r="H12" t="s">
        <v>63</v>
      </c>
      <c r="I12" t="s">
        <v>48</v>
      </c>
      <c r="J12" t="s">
        <v>49</v>
      </c>
      <c r="K12" s="8">
        <v>42857.14</v>
      </c>
      <c r="L12" s="8">
        <v>42857.14</v>
      </c>
      <c r="M12" s="8">
        <v>48000</v>
      </c>
      <c r="N12">
        <v>1</v>
      </c>
      <c r="O12">
        <v>0</v>
      </c>
      <c r="P12" s="8">
        <v>0</v>
      </c>
      <c r="Q12" s="8">
        <v>0</v>
      </c>
      <c r="R12" s="8">
        <v>0</v>
      </c>
      <c r="S12">
        <v>2</v>
      </c>
      <c r="T12">
        <v>4</v>
      </c>
      <c r="U12" t="s">
        <v>50</v>
      </c>
      <c r="V12" t="s">
        <v>97</v>
      </c>
      <c r="W12" t="s">
        <v>98</v>
      </c>
      <c r="X12" t="s">
        <v>41</v>
      </c>
      <c r="Y12">
        <v>12</v>
      </c>
      <c r="Z12" t="s">
        <v>42</v>
      </c>
      <c r="AA12" t="s">
        <v>99</v>
      </c>
      <c r="AB12" t="s">
        <v>44</v>
      </c>
    </row>
    <row r="13" spans="1:28" ht="20" customHeight="1">
      <c r="A13" t="s">
        <v>30</v>
      </c>
      <c r="B13" t="s">
        <v>45</v>
      </c>
      <c r="C13" t="s">
        <v>100</v>
      </c>
      <c r="D13" s="7">
        <v>46282.35833333333</v>
      </c>
      <c r="E13" t="s">
        <v>33</v>
      </c>
      <c r="F13" t="s">
        <v>34</v>
      </c>
      <c r="G13" t="s">
        <v>35</v>
      </c>
      <c r="I13" t="s">
        <v>36</v>
      </c>
      <c r="J13" t="s">
        <v>37</v>
      </c>
      <c r="K13" s="8">
        <v>29117.32</v>
      </c>
      <c r="L13" s="8">
        <v>0</v>
      </c>
      <c r="M13" s="8">
        <v>32611.4</v>
      </c>
      <c r="N13">
        <v>0</v>
      </c>
      <c r="O13">
        <v>0</v>
      </c>
      <c r="P13" s="8">
        <v>29117.32</v>
      </c>
      <c r="Q13" s="8">
        <v>0</v>
      </c>
      <c r="R13" s="8">
        <v>0</v>
      </c>
      <c r="S13">
        <v>2</v>
      </c>
      <c r="T13">
        <v>8</v>
      </c>
      <c r="U13" t="s">
        <v>101</v>
      </c>
      <c r="V13" t="s">
        <v>102</v>
      </c>
      <c r="W13" t="s">
        <v>103</v>
      </c>
      <c r="X13" t="s">
        <v>41</v>
      </c>
      <c r="Y13">
        <v>13</v>
      </c>
      <c r="Z13" t="s">
        <v>42</v>
      </c>
      <c r="AA13" t="s">
        <v>104</v>
      </c>
      <c r="AB13" t="s">
        <v>44</v>
      </c>
    </row>
    <row r="14" spans="1:28" ht="20" customHeight="1">
      <c r="A14" t="s">
        <v>30</v>
      </c>
      <c r="B14" t="s">
        <v>105</v>
      </c>
      <c r="C14" t="s">
        <v>106</v>
      </c>
      <c r="D14" s="7">
        <v>46282.41805555556</v>
      </c>
      <c r="E14" t="s">
        <v>33</v>
      </c>
      <c r="F14" t="s">
        <v>34</v>
      </c>
      <c r="G14" t="s">
        <v>35</v>
      </c>
      <c r="H14" t="s">
        <v>35</v>
      </c>
      <c r="I14" t="s">
        <v>48</v>
      </c>
      <c r="J14" t="s">
        <v>49</v>
      </c>
      <c r="K14" s="8">
        <v>4941.16</v>
      </c>
      <c r="L14" s="8">
        <v>4941.16</v>
      </c>
      <c r="M14" s="8">
        <v>5534.1</v>
      </c>
      <c r="N14">
        <v>1</v>
      </c>
      <c r="O14">
        <v>0</v>
      </c>
      <c r="P14" s="8">
        <v>0</v>
      </c>
      <c r="Q14" s="8">
        <v>0</v>
      </c>
      <c r="R14" s="8">
        <v>0</v>
      </c>
      <c r="S14">
        <v>2</v>
      </c>
      <c r="T14">
        <v>2</v>
      </c>
      <c r="U14" t="s">
        <v>57</v>
      </c>
      <c r="V14" t="s">
        <v>107</v>
      </c>
      <c r="W14" t="s">
        <v>108</v>
      </c>
      <c r="X14" t="s">
        <v>41</v>
      </c>
      <c r="Y14">
        <v>14</v>
      </c>
      <c r="Z14" t="s">
        <v>42</v>
      </c>
      <c r="AA14" t="s">
        <v>109</v>
      </c>
      <c r="AB14" t="s">
        <v>44</v>
      </c>
    </row>
    <row r="15" spans="1:28" ht="20" customHeight="1">
      <c r="A15" t="s">
        <v>30</v>
      </c>
      <c r="B15" t="s">
        <v>45</v>
      </c>
      <c r="C15" t="s">
        <v>110</v>
      </c>
      <c r="D15" s="7">
        <v>46282.46805555555</v>
      </c>
      <c r="E15" t="s">
        <v>33</v>
      </c>
      <c r="F15" t="s">
        <v>34</v>
      </c>
      <c r="G15" t="s">
        <v>35</v>
      </c>
      <c r="H15" t="s">
        <v>63</v>
      </c>
      <c r="I15" t="s">
        <v>68</v>
      </c>
      <c r="J15" t="s">
        <v>69</v>
      </c>
      <c r="K15" s="8">
        <v>30008.04</v>
      </c>
      <c r="L15" s="8">
        <v>0</v>
      </c>
      <c r="M15" s="8">
        <v>33609</v>
      </c>
      <c r="N15">
        <v>0</v>
      </c>
      <c r="O15">
        <v>0</v>
      </c>
      <c r="P15" s="8">
        <v>30008.04</v>
      </c>
      <c r="Q15" s="8">
        <v>0</v>
      </c>
      <c r="R15" s="8">
        <v>0</v>
      </c>
      <c r="S15">
        <v>2</v>
      </c>
      <c r="T15">
        <v>8</v>
      </c>
      <c r="U15" t="s">
        <v>101</v>
      </c>
      <c r="V15" t="s">
        <v>102</v>
      </c>
      <c r="W15" t="s">
        <v>111</v>
      </c>
      <c r="X15" t="s">
        <v>41</v>
      </c>
      <c r="Y15">
        <v>15</v>
      </c>
      <c r="Z15" t="s">
        <v>42</v>
      </c>
      <c r="AA15" t="s">
        <v>112</v>
      </c>
      <c r="AB15" t="s">
        <v>44</v>
      </c>
    </row>
    <row r="16" spans="1:28" ht="20" customHeight="1">
      <c r="A16" t="s">
        <v>30</v>
      </c>
      <c r="B16" t="s">
        <v>45</v>
      </c>
      <c r="C16" t="s">
        <v>113</v>
      </c>
      <c r="D16" s="7">
        <v>46283.52430555555</v>
      </c>
      <c r="E16" t="s">
        <v>33</v>
      </c>
      <c r="F16" t="s">
        <v>34</v>
      </c>
      <c r="G16" t="s">
        <v>35</v>
      </c>
      <c r="H16" t="s">
        <v>35</v>
      </c>
      <c r="I16" t="s">
        <v>48</v>
      </c>
      <c r="J16" t="s">
        <v>49</v>
      </c>
      <c r="K16" s="8">
        <v>6785.71</v>
      </c>
      <c r="L16" s="8">
        <v>6785.71</v>
      </c>
      <c r="M16" s="8">
        <v>7600</v>
      </c>
      <c r="N16">
        <v>1</v>
      </c>
      <c r="O16">
        <v>0</v>
      </c>
      <c r="P16" s="8">
        <v>0</v>
      </c>
      <c r="Q16" s="8">
        <v>0</v>
      </c>
      <c r="R16" s="8">
        <v>0</v>
      </c>
      <c r="S16">
        <v>2</v>
      </c>
      <c r="T16">
        <v>2</v>
      </c>
      <c r="U16" t="s">
        <v>80</v>
      </c>
      <c r="V16" t="s">
        <v>114</v>
      </c>
      <c r="W16" t="s">
        <v>115</v>
      </c>
      <c r="X16" t="s">
        <v>41</v>
      </c>
      <c r="Y16">
        <v>16</v>
      </c>
      <c r="Z16" t="s">
        <v>42</v>
      </c>
      <c r="AA16" t="s">
        <v>116</v>
      </c>
      <c r="AB16" t="s">
        <v>44</v>
      </c>
    </row>
    <row r="17" spans="1:28" ht="20" customHeight="1">
      <c r="A17" t="s">
        <v>30</v>
      </c>
      <c r="B17" t="s">
        <v>45</v>
      </c>
      <c r="C17" t="s">
        <v>117</v>
      </c>
      <c r="D17" s="7">
        <v>46283.71736111111</v>
      </c>
      <c r="E17" t="s">
        <v>33</v>
      </c>
      <c r="F17" t="s">
        <v>34</v>
      </c>
      <c r="G17" t="s">
        <v>35</v>
      </c>
      <c r="H17" t="s">
        <v>35</v>
      </c>
      <c r="I17" t="s">
        <v>36</v>
      </c>
      <c r="J17" t="s">
        <v>37</v>
      </c>
      <c r="K17" s="8">
        <v>4808.04</v>
      </c>
      <c r="L17" s="8">
        <v>0</v>
      </c>
      <c r="M17" s="8">
        <v>5385</v>
      </c>
      <c r="N17">
        <v>0</v>
      </c>
      <c r="O17">
        <v>0</v>
      </c>
      <c r="P17" s="8">
        <v>4808.04</v>
      </c>
      <c r="Q17" s="8">
        <v>0</v>
      </c>
      <c r="R17" s="8">
        <v>0</v>
      </c>
      <c r="S17">
        <v>2</v>
      </c>
      <c r="T17">
        <v>1</v>
      </c>
      <c r="U17" t="s">
        <v>80</v>
      </c>
      <c r="V17" t="s">
        <v>118</v>
      </c>
      <c r="W17" t="s">
        <v>119</v>
      </c>
      <c r="X17" t="s">
        <v>41</v>
      </c>
      <c r="Y17">
        <v>17</v>
      </c>
      <c r="Z17" t="s">
        <v>42</v>
      </c>
      <c r="AA17" t="s">
        <v>120</v>
      </c>
      <c r="AB17" t="s">
        <v>44</v>
      </c>
    </row>
    <row r="18" spans="1:28" ht="20" customHeight="1">
      <c r="A18" t="s">
        <v>30</v>
      </c>
      <c r="B18" t="s">
        <v>45</v>
      </c>
      <c r="C18" t="s">
        <v>121</v>
      </c>
      <c r="D18" s="7">
        <v>46284.05555555555</v>
      </c>
      <c r="E18" t="s">
        <v>33</v>
      </c>
      <c r="F18" t="s">
        <v>34</v>
      </c>
      <c r="G18" t="s">
        <v>35</v>
      </c>
      <c r="H18" t="s">
        <v>35</v>
      </c>
      <c r="I18" t="s">
        <v>122</v>
      </c>
      <c r="J18" t="s">
        <v>49</v>
      </c>
      <c r="K18" s="8">
        <v>39419.64</v>
      </c>
      <c r="L18" s="8">
        <v>0</v>
      </c>
      <c r="M18" s="8">
        <v>44150</v>
      </c>
      <c r="N18">
        <v>0</v>
      </c>
      <c r="O18">
        <v>0</v>
      </c>
      <c r="P18" s="8">
        <v>39419.64</v>
      </c>
      <c r="Q18" s="8">
        <v>0</v>
      </c>
      <c r="R18" s="8">
        <v>0</v>
      </c>
      <c r="S18">
        <v>2</v>
      </c>
      <c r="T18">
        <v>4</v>
      </c>
      <c r="U18" t="s">
        <v>50</v>
      </c>
      <c r="V18" t="s">
        <v>123</v>
      </c>
      <c r="W18" t="s">
        <v>124</v>
      </c>
      <c r="X18" t="s">
        <v>41</v>
      </c>
      <c r="Y18">
        <v>18</v>
      </c>
      <c r="Z18" t="s">
        <v>42</v>
      </c>
      <c r="AA18" t="s">
        <v>125</v>
      </c>
      <c r="AB18" t="s">
        <v>44</v>
      </c>
    </row>
    <row r="19" spans="1:28" ht="20" customHeight="1">
      <c r="A19" t="s">
        <v>30</v>
      </c>
      <c r="B19" t="s">
        <v>31</v>
      </c>
      <c r="C19" t="s">
        <v>126</v>
      </c>
      <c r="D19" s="7">
        <v>46284.35277777778</v>
      </c>
      <c r="E19" t="s">
        <v>33</v>
      </c>
      <c r="F19" t="s">
        <v>34</v>
      </c>
      <c r="G19" t="s">
        <v>35</v>
      </c>
      <c r="I19" t="s">
        <v>48</v>
      </c>
      <c r="J19" t="s">
        <v>69</v>
      </c>
      <c r="K19" s="8">
        <v>14979.64</v>
      </c>
      <c r="L19" s="8">
        <v>14979.64</v>
      </c>
      <c r="M19" s="8">
        <v>16777.2</v>
      </c>
      <c r="N19">
        <v>1</v>
      </c>
      <c r="O19">
        <v>0</v>
      </c>
      <c r="P19" s="8">
        <v>0</v>
      </c>
      <c r="Q19" s="8">
        <v>0</v>
      </c>
      <c r="R19" s="8">
        <v>0</v>
      </c>
      <c r="S19">
        <v>2</v>
      </c>
      <c r="T19">
        <v>4</v>
      </c>
      <c r="U19" t="s">
        <v>127</v>
      </c>
      <c r="V19" t="s">
        <v>128</v>
      </c>
      <c r="W19" t="s">
        <v>129</v>
      </c>
      <c r="X19" t="s">
        <v>41</v>
      </c>
      <c r="Y19">
        <v>19</v>
      </c>
      <c r="Z19" t="s">
        <v>42</v>
      </c>
      <c r="AA19" t="s">
        <v>130</v>
      </c>
      <c r="AB19" t="s">
        <v>44</v>
      </c>
    </row>
    <row r="20" spans="1:28" ht="20" customHeight="1">
      <c r="A20" t="s">
        <v>30</v>
      </c>
      <c r="B20" t="s">
        <v>61</v>
      </c>
      <c r="C20" t="s">
        <v>131</v>
      </c>
      <c r="D20" s="7">
        <v>46284.66666666666</v>
      </c>
      <c r="E20" t="s">
        <v>33</v>
      </c>
      <c r="F20" t="s">
        <v>34</v>
      </c>
      <c r="G20" t="s">
        <v>35</v>
      </c>
      <c r="H20" t="s">
        <v>35</v>
      </c>
      <c r="I20" t="s">
        <v>132</v>
      </c>
      <c r="J20" t="s">
        <v>49</v>
      </c>
      <c r="K20" s="8">
        <v>10851.25</v>
      </c>
      <c r="L20" s="8">
        <v>0</v>
      </c>
      <c r="M20" s="8">
        <v>12153.4</v>
      </c>
      <c r="N20">
        <v>0</v>
      </c>
      <c r="O20">
        <v>1</v>
      </c>
      <c r="P20" s="8">
        <v>0</v>
      </c>
      <c r="Q20" s="8">
        <v>10851.25</v>
      </c>
      <c r="R20" s="8">
        <v>0</v>
      </c>
      <c r="S20">
        <v>2</v>
      </c>
      <c r="T20">
        <v>4</v>
      </c>
      <c r="U20" t="s">
        <v>80</v>
      </c>
      <c r="V20" t="s">
        <v>133</v>
      </c>
      <c r="W20" t="s">
        <v>134</v>
      </c>
      <c r="X20" t="s">
        <v>41</v>
      </c>
      <c r="Y20">
        <v>20</v>
      </c>
      <c r="Z20" t="s">
        <v>42</v>
      </c>
      <c r="AA20" t="s">
        <v>135</v>
      </c>
      <c r="AB20" t="s">
        <v>44</v>
      </c>
    </row>
    <row r="21" spans="1:28" ht="20" customHeight="1">
      <c r="A21" t="s">
        <v>30</v>
      </c>
      <c r="B21" t="s">
        <v>136</v>
      </c>
      <c r="C21" t="s">
        <v>137</v>
      </c>
      <c r="D21" s="7">
        <v>46285.79791666667</v>
      </c>
      <c r="E21" t="s">
        <v>33</v>
      </c>
      <c r="F21" t="s">
        <v>34</v>
      </c>
      <c r="G21" t="s">
        <v>35</v>
      </c>
      <c r="I21" t="s">
        <v>48</v>
      </c>
      <c r="J21" t="s">
        <v>49</v>
      </c>
      <c r="K21" s="8">
        <v>8613.66</v>
      </c>
      <c r="L21" s="8">
        <v>8613.66</v>
      </c>
      <c r="M21" s="8">
        <v>9647.299999999999</v>
      </c>
      <c r="N21">
        <v>1</v>
      </c>
      <c r="O21">
        <v>0</v>
      </c>
      <c r="P21" s="8">
        <v>0</v>
      </c>
      <c r="Q21" s="8">
        <v>0</v>
      </c>
      <c r="R21" s="8">
        <v>0</v>
      </c>
      <c r="S21">
        <v>2</v>
      </c>
      <c r="T21">
        <v>2</v>
      </c>
      <c r="U21" t="s">
        <v>38</v>
      </c>
      <c r="V21" t="s">
        <v>138</v>
      </c>
      <c r="W21" t="s">
        <v>139</v>
      </c>
      <c r="X21" t="s">
        <v>41</v>
      </c>
      <c r="Y21">
        <v>21</v>
      </c>
      <c r="Z21" t="s">
        <v>42</v>
      </c>
      <c r="AA21" t="s">
        <v>140</v>
      </c>
      <c r="AB21" t="s">
        <v>44</v>
      </c>
    </row>
    <row r="22" spans="1:28" ht="20" customHeight="1">
      <c r="A22" t="s">
        <v>30</v>
      </c>
      <c r="B22" t="s">
        <v>61</v>
      </c>
      <c r="C22" t="s">
        <v>141</v>
      </c>
      <c r="D22" s="7">
        <v>46285.82152777778</v>
      </c>
      <c r="E22" t="s">
        <v>33</v>
      </c>
      <c r="F22" t="s">
        <v>34</v>
      </c>
      <c r="G22" t="s">
        <v>35</v>
      </c>
      <c r="I22" t="s">
        <v>142</v>
      </c>
      <c r="J22" t="s">
        <v>69</v>
      </c>
      <c r="K22" s="8">
        <v>10940.54</v>
      </c>
      <c r="L22" s="8">
        <v>0</v>
      </c>
      <c r="M22" s="8">
        <v>12253.4</v>
      </c>
      <c r="N22">
        <v>0</v>
      </c>
      <c r="O22">
        <v>0</v>
      </c>
      <c r="P22" s="8">
        <v>0</v>
      </c>
      <c r="Q22" s="8">
        <v>0</v>
      </c>
      <c r="R22" s="8">
        <v>10940.54</v>
      </c>
      <c r="S22">
        <v>2</v>
      </c>
      <c r="T22">
        <v>4</v>
      </c>
      <c r="U22" t="s">
        <v>80</v>
      </c>
      <c r="V22" t="s">
        <v>133</v>
      </c>
      <c r="W22" t="s">
        <v>143</v>
      </c>
      <c r="X22" t="s">
        <v>41</v>
      </c>
      <c r="Y22">
        <v>22</v>
      </c>
      <c r="Z22" t="s">
        <v>42</v>
      </c>
      <c r="AA22" t="s">
        <v>144</v>
      </c>
      <c r="AB22" t="s">
        <v>44</v>
      </c>
    </row>
    <row r="23" spans="1:28" ht="20" customHeight="1">
      <c r="A23" t="s">
        <v>30</v>
      </c>
      <c r="B23" t="s">
        <v>31</v>
      </c>
      <c r="C23" t="s">
        <v>145</v>
      </c>
      <c r="D23" s="7">
        <v>46287.82916666667</v>
      </c>
      <c r="E23" t="s">
        <v>146</v>
      </c>
      <c r="F23" t="s">
        <v>34</v>
      </c>
      <c r="G23" t="s">
        <v>35</v>
      </c>
      <c r="H23" t="s">
        <v>35</v>
      </c>
      <c r="I23" t="s">
        <v>122</v>
      </c>
      <c r="J23" t="s">
        <v>49</v>
      </c>
      <c r="K23" s="8">
        <v>19370.54</v>
      </c>
      <c r="L23" s="8">
        <v>0</v>
      </c>
      <c r="M23" s="8">
        <v>21695</v>
      </c>
      <c r="N23">
        <v>0</v>
      </c>
      <c r="O23">
        <v>0</v>
      </c>
      <c r="P23" s="8">
        <v>19370.54</v>
      </c>
      <c r="Q23" s="8">
        <v>0</v>
      </c>
      <c r="R23" s="8">
        <v>0</v>
      </c>
      <c r="S23">
        <v>2</v>
      </c>
      <c r="T23">
        <v>4</v>
      </c>
      <c r="U23" t="s">
        <v>50</v>
      </c>
      <c r="V23" t="s">
        <v>147</v>
      </c>
      <c r="W23" t="s">
        <v>148</v>
      </c>
      <c r="X23" t="s">
        <v>41</v>
      </c>
      <c r="Y23">
        <v>23</v>
      </c>
      <c r="Z23" t="s">
        <v>42</v>
      </c>
      <c r="AA23" t="s">
        <v>149</v>
      </c>
      <c r="AB23" t="s">
        <v>44</v>
      </c>
    </row>
    <row r="24" spans="1:28" ht="20" customHeight="1">
      <c r="A24" t="s">
        <v>30</v>
      </c>
      <c r="B24" t="s">
        <v>105</v>
      </c>
      <c r="C24" t="s">
        <v>150</v>
      </c>
      <c r="D24" s="7">
        <v>46288.50902777778</v>
      </c>
      <c r="E24" t="s">
        <v>146</v>
      </c>
      <c r="F24" t="s">
        <v>34</v>
      </c>
      <c r="G24" t="s">
        <v>35</v>
      </c>
      <c r="I24" t="s">
        <v>68</v>
      </c>
      <c r="J24" t="s">
        <v>49</v>
      </c>
      <c r="K24" s="8">
        <v>6370.54</v>
      </c>
      <c r="L24" s="8">
        <v>0</v>
      </c>
      <c r="M24" s="8">
        <v>7135</v>
      </c>
      <c r="N24">
        <v>0</v>
      </c>
      <c r="O24">
        <v>0</v>
      </c>
      <c r="P24" s="8">
        <v>6370.54</v>
      </c>
      <c r="Q24" s="8">
        <v>0</v>
      </c>
      <c r="R24" s="8">
        <v>0</v>
      </c>
      <c r="S24">
        <v>2</v>
      </c>
      <c r="T24">
        <v>1</v>
      </c>
      <c r="U24" t="s">
        <v>38</v>
      </c>
      <c r="V24" t="s">
        <v>151</v>
      </c>
      <c r="W24" t="s">
        <v>152</v>
      </c>
      <c r="X24" t="s">
        <v>41</v>
      </c>
      <c r="Y24">
        <v>24</v>
      </c>
      <c r="Z24" t="s">
        <v>42</v>
      </c>
      <c r="AA24" t="s">
        <v>153</v>
      </c>
      <c r="AB24" t="s">
        <v>44</v>
      </c>
    </row>
    <row r="25" spans="1:28" ht="20" customHeight="1">
      <c r="A25" t="s">
        <v>30</v>
      </c>
      <c r="B25" t="s">
        <v>45</v>
      </c>
      <c r="C25" t="s">
        <v>154</v>
      </c>
      <c r="D25" s="7">
        <v>46288.75277777778</v>
      </c>
      <c r="E25" t="s">
        <v>146</v>
      </c>
      <c r="F25" t="s">
        <v>34</v>
      </c>
      <c r="G25" t="s">
        <v>35</v>
      </c>
      <c r="I25" t="s">
        <v>122</v>
      </c>
      <c r="J25" t="s">
        <v>49</v>
      </c>
      <c r="K25" s="8">
        <v>26638.93</v>
      </c>
      <c r="L25" s="8">
        <v>0</v>
      </c>
      <c r="M25" s="8">
        <v>29835.6</v>
      </c>
      <c r="N25">
        <v>0</v>
      </c>
      <c r="O25">
        <v>0</v>
      </c>
      <c r="P25" s="8">
        <v>26638.93</v>
      </c>
      <c r="Q25" s="8">
        <v>0</v>
      </c>
      <c r="R25" s="8">
        <v>0</v>
      </c>
      <c r="S25">
        <v>2</v>
      </c>
      <c r="T25">
        <v>4</v>
      </c>
      <c r="U25" t="s">
        <v>155</v>
      </c>
      <c r="V25" t="s">
        <v>156</v>
      </c>
      <c r="W25" t="s">
        <v>157</v>
      </c>
      <c r="X25" t="s">
        <v>41</v>
      </c>
      <c r="Y25">
        <v>25</v>
      </c>
      <c r="Z25" t="s">
        <v>42</v>
      </c>
      <c r="AA25" t="s">
        <v>158</v>
      </c>
      <c r="AB25" t="s">
        <v>44</v>
      </c>
    </row>
    <row r="26" spans="1:28" ht="20" customHeight="1">
      <c r="A26" t="s">
        <v>30</v>
      </c>
      <c r="B26" t="s">
        <v>45</v>
      </c>
      <c r="C26" t="s">
        <v>159</v>
      </c>
      <c r="D26" s="7">
        <v>46289.39236111111</v>
      </c>
      <c r="E26" t="s">
        <v>146</v>
      </c>
      <c r="F26" t="s">
        <v>34</v>
      </c>
      <c r="G26" t="s">
        <v>35</v>
      </c>
      <c r="I26" t="s">
        <v>68</v>
      </c>
      <c r="J26" t="s">
        <v>69</v>
      </c>
      <c r="K26" s="8">
        <v>11310.18</v>
      </c>
      <c r="L26" s="8">
        <v>0</v>
      </c>
      <c r="M26" s="8">
        <v>12667.4</v>
      </c>
      <c r="N26">
        <v>0</v>
      </c>
      <c r="O26">
        <v>0</v>
      </c>
      <c r="P26" s="8">
        <v>11310.18</v>
      </c>
      <c r="Q26" s="8">
        <v>0</v>
      </c>
      <c r="R26" s="8">
        <v>0</v>
      </c>
      <c r="S26">
        <v>2</v>
      </c>
      <c r="T26">
        <v>4</v>
      </c>
      <c r="U26" t="s">
        <v>57</v>
      </c>
      <c r="V26" t="s">
        <v>160</v>
      </c>
      <c r="W26" t="s">
        <v>161</v>
      </c>
      <c r="X26" t="s">
        <v>41</v>
      </c>
      <c r="Y26">
        <v>26</v>
      </c>
      <c r="Z26" t="s">
        <v>42</v>
      </c>
      <c r="AA26" t="s">
        <v>162</v>
      </c>
      <c r="AB26" t="s">
        <v>44</v>
      </c>
    </row>
    <row r="27" spans="1:28" ht="20" customHeight="1">
      <c r="A27" t="s">
        <v>30</v>
      </c>
      <c r="B27" t="s">
        <v>61</v>
      </c>
      <c r="C27" t="s">
        <v>163</v>
      </c>
      <c r="D27" s="7">
        <v>46289.40763888889</v>
      </c>
      <c r="E27" t="s">
        <v>146</v>
      </c>
      <c r="F27" t="s">
        <v>34</v>
      </c>
      <c r="G27" t="s">
        <v>35</v>
      </c>
      <c r="I27" t="s">
        <v>132</v>
      </c>
      <c r="J27" t="s">
        <v>68</v>
      </c>
      <c r="K27" s="8">
        <v>21785.71</v>
      </c>
      <c r="L27" s="8">
        <v>0</v>
      </c>
      <c r="M27" s="8">
        <v>24400</v>
      </c>
      <c r="N27">
        <v>0</v>
      </c>
      <c r="O27">
        <v>1</v>
      </c>
      <c r="P27" s="8">
        <v>0</v>
      </c>
      <c r="Q27" s="8">
        <v>21785.71</v>
      </c>
      <c r="R27" s="8">
        <v>0</v>
      </c>
      <c r="S27">
        <v>2</v>
      </c>
      <c r="T27">
        <v>4</v>
      </c>
      <c r="U27" t="s">
        <v>80</v>
      </c>
      <c r="V27" t="s">
        <v>164</v>
      </c>
      <c r="W27" t="s">
        <v>165</v>
      </c>
      <c r="X27" t="s">
        <v>41</v>
      </c>
      <c r="Y27">
        <v>27</v>
      </c>
      <c r="Z27" t="s">
        <v>42</v>
      </c>
      <c r="AA27" t="s">
        <v>166</v>
      </c>
      <c r="AB27" t="s">
        <v>44</v>
      </c>
    </row>
    <row r="28" spans="1:28" ht="20" customHeight="1">
      <c r="A28" t="s">
        <v>30</v>
      </c>
      <c r="B28" t="s">
        <v>61</v>
      </c>
      <c r="C28" t="s">
        <v>167</v>
      </c>
      <c r="D28" s="7">
        <v>46289.40763888889</v>
      </c>
      <c r="E28" t="s">
        <v>146</v>
      </c>
      <c r="F28" t="s">
        <v>34</v>
      </c>
      <c r="G28" t="s">
        <v>35</v>
      </c>
      <c r="H28" t="s">
        <v>35</v>
      </c>
      <c r="I28" t="s">
        <v>132</v>
      </c>
      <c r="J28" t="s">
        <v>68</v>
      </c>
      <c r="K28" s="8">
        <v>21785.71</v>
      </c>
      <c r="L28" s="8">
        <v>0</v>
      </c>
      <c r="M28" s="8">
        <v>24400</v>
      </c>
      <c r="N28">
        <v>0</v>
      </c>
      <c r="O28">
        <v>1</v>
      </c>
      <c r="P28" s="8">
        <v>0</v>
      </c>
      <c r="Q28" s="8">
        <v>21785.71</v>
      </c>
      <c r="R28" s="8">
        <v>0</v>
      </c>
      <c r="S28">
        <v>2</v>
      </c>
      <c r="T28">
        <v>4</v>
      </c>
      <c r="U28" t="s">
        <v>80</v>
      </c>
      <c r="V28" t="s">
        <v>164</v>
      </c>
      <c r="W28" t="s">
        <v>168</v>
      </c>
      <c r="X28" t="s">
        <v>41</v>
      </c>
      <c r="Y28">
        <v>28</v>
      </c>
      <c r="Z28" t="s">
        <v>42</v>
      </c>
      <c r="AA28" t="s">
        <v>169</v>
      </c>
      <c r="AB28" t="s">
        <v>44</v>
      </c>
    </row>
    <row r="29" spans="1:28" ht="20" customHeight="1">
      <c r="A29" t="s">
        <v>30</v>
      </c>
      <c r="B29" t="s">
        <v>45</v>
      </c>
      <c r="C29" t="s">
        <v>170</v>
      </c>
      <c r="D29" s="7">
        <v>46289.54305555556</v>
      </c>
      <c r="E29" t="s">
        <v>146</v>
      </c>
      <c r="F29" t="s">
        <v>34</v>
      </c>
      <c r="G29" t="s">
        <v>35</v>
      </c>
      <c r="I29" t="s">
        <v>36</v>
      </c>
      <c r="J29" t="s">
        <v>37</v>
      </c>
      <c r="K29" s="8">
        <v>10774.91</v>
      </c>
      <c r="L29" s="8">
        <v>0</v>
      </c>
      <c r="M29" s="8">
        <v>12067.9</v>
      </c>
      <c r="N29">
        <v>0</v>
      </c>
      <c r="O29">
        <v>0</v>
      </c>
      <c r="P29" s="8">
        <v>10774.91</v>
      </c>
      <c r="Q29" s="8">
        <v>0</v>
      </c>
      <c r="R29" s="8">
        <v>0</v>
      </c>
      <c r="S29">
        <v>2</v>
      </c>
      <c r="T29">
        <v>2</v>
      </c>
      <c r="U29" t="s">
        <v>80</v>
      </c>
      <c r="V29" t="s">
        <v>171</v>
      </c>
      <c r="W29" t="s">
        <v>172</v>
      </c>
      <c r="X29" t="s">
        <v>41</v>
      </c>
      <c r="Y29">
        <v>29</v>
      </c>
      <c r="Z29" t="s">
        <v>42</v>
      </c>
      <c r="AA29" t="s">
        <v>173</v>
      </c>
      <c r="AB29" t="s">
        <v>44</v>
      </c>
    </row>
    <row r="30" spans="1:28" ht="20" customHeight="1">
      <c r="A30" t="s">
        <v>30</v>
      </c>
      <c r="B30" t="s">
        <v>61</v>
      </c>
      <c r="C30" t="s">
        <v>174</v>
      </c>
      <c r="D30" s="7">
        <v>46289.61180555556</v>
      </c>
      <c r="E30" t="s">
        <v>146</v>
      </c>
      <c r="F30" t="s">
        <v>34</v>
      </c>
      <c r="G30" t="s">
        <v>35</v>
      </c>
      <c r="H30" t="s">
        <v>175</v>
      </c>
      <c r="I30" t="s">
        <v>122</v>
      </c>
      <c r="J30" t="s">
        <v>49</v>
      </c>
      <c r="K30" s="8">
        <v>27812.14</v>
      </c>
      <c r="L30" s="8">
        <v>0</v>
      </c>
      <c r="M30" s="8">
        <v>31149.6</v>
      </c>
      <c r="N30">
        <v>0</v>
      </c>
      <c r="O30">
        <v>0</v>
      </c>
      <c r="P30" s="8">
        <v>27812.14</v>
      </c>
      <c r="Q30" s="8">
        <v>0</v>
      </c>
      <c r="R30" s="8">
        <v>0</v>
      </c>
      <c r="S30">
        <v>2</v>
      </c>
      <c r="T30">
        <v>4</v>
      </c>
      <c r="U30" t="s">
        <v>38</v>
      </c>
      <c r="V30" t="s">
        <v>176</v>
      </c>
      <c r="W30" t="s">
        <v>177</v>
      </c>
      <c r="X30" t="s">
        <v>41</v>
      </c>
      <c r="Y30">
        <v>30</v>
      </c>
      <c r="Z30" t="s">
        <v>42</v>
      </c>
      <c r="AA30" t="s">
        <v>178</v>
      </c>
      <c r="AB30" t="s">
        <v>44</v>
      </c>
    </row>
    <row r="31" spans="1:28" ht="20" customHeight="1">
      <c r="A31" t="s">
        <v>30</v>
      </c>
      <c r="B31" t="s">
        <v>61</v>
      </c>
      <c r="C31" t="s">
        <v>179</v>
      </c>
      <c r="D31" s="7">
        <v>46267.25972222222</v>
      </c>
      <c r="E31" t="s">
        <v>47</v>
      </c>
      <c r="F31" t="s">
        <v>34</v>
      </c>
      <c r="G31" t="s">
        <v>35</v>
      </c>
      <c r="H31" t="s">
        <v>35</v>
      </c>
      <c r="I31" t="s">
        <v>48</v>
      </c>
      <c r="J31" t="s">
        <v>49</v>
      </c>
      <c r="K31" s="8">
        <v>14073.04</v>
      </c>
      <c r="L31" s="8">
        <v>14073.04</v>
      </c>
      <c r="M31" s="8">
        <v>15761.8</v>
      </c>
      <c r="N31">
        <v>1</v>
      </c>
      <c r="O31">
        <v>0</v>
      </c>
      <c r="P31" s="8">
        <v>0</v>
      </c>
      <c r="Q31" s="8">
        <v>0</v>
      </c>
      <c r="R31" s="8">
        <v>0</v>
      </c>
      <c r="S31">
        <v>2</v>
      </c>
      <c r="T31">
        <v>4</v>
      </c>
      <c r="U31" t="s">
        <v>80</v>
      </c>
      <c r="V31" t="s">
        <v>180</v>
      </c>
      <c r="W31" t="s">
        <v>181</v>
      </c>
      <c r="X31" t="s">
        <v>41</v>
      </c>
      <c r="Y31">
        <v>31</v>
      </c>
      <c r="Z31" t="s">
        <v>42</v>
      </c>
      <c r="AA31" t="s">
        <v>182</v>
      </c>
      <c r="AB31" t="s">
        <v>44</v>
      </c>
    </row>
    <row r="32" spans="1:28" ht="20" customHeight="1">
      <c r="A32" t="s">
        <v>30</v>
      </c>
      <c r="B32" t="s">
        <v>61</v>
      </c>
      <c r="C32" t="s">
        <v>183</v>
      </c>
      <c r="D32" s="7">
        <v>46267.51319444444</v>
      </c>
      <c r="E32" t="s">
        <v>47</v>
      </c>
      <c r="F32" t="s">
        <v>34</v>
      </c>
      <c r="G32" t="s">
        <v>35</v>
      </c>
      <c r="H32" t="s">
        <v>63</v>
      </c>
      <c r="I32" t="s">
        <v>48</v>
      </c>
      <c r="J32" t="s">
        <v>49</v>
      </c>
      <c r="K32" s="8">
        <v>24990.18</v>
      </c>
      <c r="L32" s="8">
        <v>24990.18</v>
      </c>
      <c r="M32" s="8">
        <v>27989</v>
      </c>
      <c r="N32">
        <v>1</v>
      </c>
      <c r="O32">
        <v>0</v>
      </c>
      <c r="P32" s="8">
        <v>0</v>
      </c>
      <c r="Q32" s="8">
        <v>0</v>
      </c>
      <c r="R32" s="8">
        <v>0</v>
      </c>
      <c r="S32">
        <v>2</v>
      </c>
      <c r="T32">
        <v>4</v>
      </c>
      <c r="U32" t="s">
        <v>38</v>
      </c>
      <c r="V32" t="s">
        <v>184</v>
      </c>
      <c r="W32" t="s">
        <v>185</v>
      </c>
      <c r="X32" t="s">
        <v>41</v>
      </c>
      <c r="Y32">
        <v>32</v>
      </c>
      <c r="Z32" t="s">
        <v>42</v>
      </c>
      <c r="AA32" t="s">
        <v>186</v>
      </c>
      <c r="AB32" t="s">
        <v>44</v>
      </c>
    </row>
    <row r="33" spans="1:28" ht="20" customHeight="1">
      <c r="A33" t="s">
        <v>30</v>
      </c>
      <c r="B33" t="s">
        <v>31</v>
      </c>
      <c r="C33" t="s">
        <v>187</v>
      </c>
      <c r="D33" s="7">
        <v>46267.55625</v>
      </c>
      <c r="E33" t="s">
        <v>47</v>
      </c>
      <c r="F33" t="s">
        <v>34</v>
      </c>
      <c r="G33" t="s">
        <v>35</v>
      </c>
      <c r="I33" t="s">
        <v>36</v>
      </c>
      <c r="J33" t="s">
        <v>37</v>
      </c>
      <c r="K33" s="8">
        <v>19659.82</v>
      </c>
      <c r="L33" s="8">
        <v>0</v>
      </c>
      <c r="M33" s="8">
        <v>22019</v>
      </c>
      <c r="N33">
        <v>0</v>
      </c>
      <c r="O33">
        <v>0</v>
      </c>
      <c r="P33" s="8">
        <v>19659.82</v>
      </c>
      <c r="Q33" s="8">
        <v>0</v>
      </c>
      <c r="R33" s="8">
        <v>0</v>
      </c>
      <c r="S33">
        <v>2</v>
      </c>
      <c r="T33">
        <v>4</v>
      </c>
      <c r="U33" t="s">
        <v>101</v>
      </c>
      <c r="V33" t="s">
        <v>188</v>
      </c>
      <c r="W33" t="s">
        <v>189</v>
      </c>
      <c r="X33" t="s">
        <v>41</v>
      </c>
      <c r="Y33">
        <v>33</v>
      </c>
      <c r="Z33" t="s">
        <v>42</v>
      </c>
      <c r="AA33" t="s">
        <v>190</v>
      </c>
      <c r="AB33" t="s">
        <v>44</v>
      </c>
    </row>
    <row r="34" spans="1:28" ht="20" customHeight="1">
      <c r="A34" t="s">
        <v>30</v>
      </c>
      <c r="B34" t="s">
        <v>31</v>
      </c>
      <c r="C34" t="s">
        <v>191</v>
      </c>
      <c r="D34" s="7">
        <v>46267.56041666667</v>
      </c>
      <c r="E34" t="s">
        <v>47</v>
      </c>
      <c r="F34" t="s">
        <v>34</v>
      </c>
      <c r="G34" t="s">
        <v>35</v>
      </c>
      <c r="H34" t="s">
        <v>35</v>
      </c>
      <c r="I34" t="s">
        <v>36</v>
      </c>
      <c r="J34" t="s">
        <v>37</v>
      </c>
      <c r="K34" s="8">
        <v>19659.82</v>
      </c>
      <c r="L34" s="8">
        <v>0</v>
      </c>
      <c r="M34" s="8">
        <v>22019</v>
      </c>
      <c r="N34">
        <v>0</v>
      </c>
      <c r="O34">
        <v>0</v>
      </c>
      <c r="P34" s="8">
        <v>19659.82</v>
      </c>
      <c r="Q34" s="8">
        <v>0</v>
      </c>
      <c r="R34" s="8">
        <v>0</v>
      </c>
      <c r="S34">
        <v>2</v>
      </c>
      <c r="T34">
        <v>4</v>
      </c>
      <c r="U34" t="s">
        <v>101</v>
      </c>
      <c r="V34" t="s">
        <v>188</v>
      </c>
      <c r="W34" t="s">
        <v>192</v>
      </c>
      <c r="X34" t="s">
        <v>41</v>
      </c>
      <c r="Y34">
        <v>34</v>
      </c>
      <c r="Z34" t="s">
        <v>42</v>
      </c>
      <c r="AA34" t="s">
        <v>193</v>
      </c>
      <c r="AB34" t="s">
        <v>44</v>
      </c>
    </row>
    <row r="35" spans="1:28" ht="20" customHeight="1">
      <c r="A35" t="s">
        <v>30</v>
      </c>
      <c r="B35" t="s">
        <v>61</v>
      </c>
      <c r="C35" t="s">
        <v>194</v>
      </c>
      <c r="D35" s="7">
        <v>46267.88541666666</v>
      </c>
      <c r="E35" t="s">
        <v>47</v>
      </c>
      <c r="F35" t="s">
        <v>34</v>
      </c>
      <c r="G35" t="s">
        <v>35</v>
      </c>
      <c r="I35" t="s">
        <v>48</v>
      </c>
      <c r="J35" t="s">
        <v>49</v>
      </c>
      <c r="K35" s="8">
        <v>42234.11</v>
      </c>
      <c r="L35" s="8">
        <v>42234.11</v>
      </c>
      <c r="M35" s="8">
        <v>47302.2</v>
      </c>
      <c r="N35">
        <v>1</v>
      </c>
      <c r="O35">
        <v>0</v>
      </c>
      <c r="P35" s="8">
        <v>0</v>
      </c>
      <c r="Q35" s="8">
        <v>0</v>
      </c>
      <c r="R35" s="8">
        <v>0</v>
      </c>
      <c r="S35">
        <v>2</v>
      </c>
      <c r="T35">
        <v>4</v>
      </c>
      <c r="U35" t="s">
        <v>195</v>
      </c>
      <c r="V35" t="s">
        <v>196</v>
      </c>
      <c r="W35" t="s">
        <v>197</v>
      </c>
      <c r="X35" t="s">
        <v>41</v>
      </c>
      <c r="Y35">
        <v>35</v>
      </c>
      <c r="Z35" t="s">
        <v>42</v>
      </c>
      <c r="AA35" t="s">
        <v>198</v>
      </c>
      <c r="AB35" t="s">
        <v>44</v>
      </c>
    </row>
    <row r="36" spans="1:28" ht="20" customHeight="1">
      <c r="A36" t="s">
        <v>30</v>
      </c>
      <c r="B36" t="s">
        <v>61</v>
      </c>
      <c r="C36" t="s">
        <v>199</v>
      </c>
      <c r="D36" s="7">
        <v>46265.78819444445</v>
      </c>
      <c r="E36" t="s">
        <v>200</v>
      </c>
      <c r="F36" t="s">
        <v>201</v>
      </c>
      <c r="G36" t="s">
        <v>35</v>
      </c>
      <c r="H36" t="s">
        <v>35</v>
      </c>
      <c r="I36" t="s">
        <v>48</v>
      </c>
      <c r="J36" t="s">
        <v>49</v>
      </c>
      <c r="K36" s="8">
        <v>27053.57</v>
      </c>
      <c r="L36" s="8">
        <v>27053.57</v>
      </c>
      <c r="M36" s="8">
        <v>30300</v>
      </c>
      <c r="N36">
        <v>1</v>
      </c>
      <c r="O36">
        <v>0</v>
      </c>
      <c r="P36" s="8">
        <v>0</v>
      </c>
      <c r="Q36" s="8">
        <v>0</v>
      </c>
      <c r="R36" s="8">
        <v>0</v>
      </c>
      <c r="S36">
        <v>2</v>
      </c>
      <c r="T36">
        <v>4</v>
      </c>
      <c r="U36" t="s">
        <v>50</v>
      </c>
      <c r="V36" t="s">
        <v>202</v>
      </c>
      <c r="W36" t="s">
        <v>203</v>
      </c>
      <c r="X36" t="s">
        <v>41</v>
      </c>
      <c r="Y36">
        <v>36</v>
      </c>
      <c r="Z36" t="s">
        <v>42</v>
      </c>
      <c r="AA36" t="s">
        <v>204</v>
      </c>
      <c r="AB36" t="s">
        <v>44</v>
      </c>
    </row>
    <row r="37" spans="1:28" ht="20" customHeight="1">
      <c r="A37" t="s">
        <v>30</v>
      </c>
      <c r="B37" t="s">
        <v>61</v>
      </c>
      <c r="C37" t="s">
        <v>205</v>
      </c>
      <c r="D37" s="7">
        <v>46271.67430555556</v>
      </c>
      <c r="E37" t="s">
        <v>47</v>
      </c>
      <c r="F37" t="s">
        <v>34</v>
      </c>
      <c r="G37" t="s">
        <v>35</v>
      </c>
      <c r="H37" t="s">
        <v>35</v>
      </c>
      <c r="I37" t="s">
        <v>48</v>
      </c>
      <c r="J37" t="s">
        <v>49</v>
      </c>
      <c r="K37" s="8">
        <v>4517.77</v>
      </c>
      <c r="L37" s="8">
        <v>4517.77</v>
      </c>
      <c r="M37" s="8">
        <v>5059.9</v>
      </c>
      <c r="N37">
        <v>1</v>
      </c>
      <c r="O37">
        <v>0</v>
      </c>
      <c r="P37" s="8">
        <v>0</v>
      </c>
      <c r="Q37" s="8">
        <v>0</v>
      </c>
      <c r="R37" s="8">
        <v>0</v>
      </c>
      <c r="S37">
        <v>2</v>
      </c>
      <c r="T37">
        <v>2</v>
      </c>
      <c r="U37" t="s">
        <v>155</v>
      </c>
      <c r="V37" t="s">
        <v>206</v>
      </c>
      <c r="W37" t="s">
        <v>207</v>
      </c>
      <c r="X37" t="s">
        <v>41</v>
      </c>
      <c r="Y37">
        <v>37</v>
      </c>
      <c r="Z37" t="s">
        <v>42</v>
      </c>
      <c r="AA37" t="s">
        <v>208</v>
      </c>
      <c r="AB37" t="s">
        <v>44</v>
      </c>
    </row>
    <row r="38" spans="1:28" ht="20" customHeight="1">
      <c r="A38" t="s">
        <v>30</v>
      </c>
      <c r="B38" t="s">
        <v>105</v>
      </c>
      <c r="C38" t="s">
        <v>209</v>
      </c>
      <c r="D38" s="7">
        <v>46271.9</v>
      </c>
      <c r="E38" t="s">
        <v>47</v>
      </c>
      <c r="F38" t="s">
        <v>34</v>
      </c>
      <c r="G38" t="s">
        <v>35</v>
      </c>
      <c r="I38" t="s">
        <v>36</v>
      </c>
      <c r="J38" t="s">
        <v>37</v>
      </c>
      <c r="K38" s="8">
        <v>45796.43</v>
      </c>
      <c r="L38" s="8">
        <v>0</v>
      </c>
      <c r="M38" s="8">
        <v>51292</v>
      </c>
      <c r="N38">
        <v>0</v>
      </c>
      <c r="O38">
        <v>0</v>
      </c>
      <c r="P38" s="8">
        <v>45796.43</v>
      </c>
      <c r="Q38" s="8">
        <v>0</v>
      </c>
      <c r="R38" s="8">
        <v>0</v>
      </c>
      <c r="S38">
        <v>2</v>
      </c>
      <c r="T38">
        <v>5</v>
      </c>
      <c r="U38" t="s">
        <v>101</v>
      </c>
      <c r="V38" t="s">
        <v>210</v>
      </c>
      <c r="W38" t="s">
        <v>211</v>
      </c>
      <c r="X38" t="s">
        <v>41</v>
      </c>
      <c r="Y38">
        <v>38</v>
      </c>
      <c r="Z38" t="s">
        <v>42</v>
      </c>
      <c r="AA38" t="s">
        <v>212</v>
      </c>
      <c r="AB38" t="s">
        <v>44</v>
      </c>
    </row>
    <row r="39" spans="1:28" ht="20" customHeight="1">
      <c r="A39" t="s">
        <v>30</v>
      </c>
      <c r="B39" t="s">
        <v>105</v>
      </c>
      <c r="C39" t="s">
        <v>213</v>
      </c>
      <c r="D39" s="7">
        <v>46271.90486111111</v>
      </c>
      <c r="E39" t="s">
        <v>47</v>
      </c>
      <c r="F39" t="s">
        <v>34</v>
      </c>
      <c r="G39" t="s">
        <v>35</v>
      </c>
      <c r="I39" t="s">
        <v>48</v>
      </c>
      <c r="J39" t="s">
        <v>49</v>
      </c>
      <c r="K39" s="8">
        <v>45796.43</v>
      </c>
      <c r="L39" s="8">
        <v>45796.43</v>
      </c>
      <c r="M39" s="8">
        <v>51292</v>
      </c>
      <c r="N39">
        <v>1</v>
      </c>
      <c r="O39">
        <v>0</v>
      </c>
      <c r="P39" s="8">
        <v>0</v>
      </c>
      <c r="Q39" s="8">
        <v>0</v>
      </c>
      <c r="R39" s="8">
        <v>0</v>
      </c>
      <c r="S39">
        <v>2</v>
      </c>
      <c r="T39">
        <v>5</v>
      </c>
      <c r="U39" t="s">
        <v>101</v>
      </c>
      <c r="V39" t="s">
        <v>210</v>
      </c>
      <c r="W39" t="s">
        <v>214</v>
      </c>
      <c r="X39" t="s">
        <v>41</v>
      </c>
      <c r="Y39">
        <v>39</v>
      </c>
      <c r="Z39" t="s">
        <v>42</v>
      </c>
      <c r="AA39" t="s">
        <v>215</v>
      </c>
      <c r="AB39" t="s">
        <v>44</v>
      </c>
    </row>
    <row r="40" spans="1:28" ht="20" customHeight="1">
      <c r="A40" t="s">
        <v>30</v>
      </c>
      <c r="B40" t="s">
        <v>61</v>
      </c>
      <c r="C40" t="s">
        <v>216</v>
      </c>
      <c r="D40" s="7">
        <v>46271.91875</v>
      </c>
      <c r="E40" t="s">
        <v>47</v>
      </c>
      <c r="F40" t="s">
        <v>34</v>
      </c>
      <c r="G40" t="s">
        <v>35</v>
      </c>
      <c r="I40" t="s">
        <v>48</v>
      </c>
      <c r="J40" t="s">
        <v>49</v>
      </c>
      <c r="K40" s="8">
        <v>8129.46</v>
      </c>
      <c r="L40" s="8">
        <v>8129.46</v>
      </c>
      <c r="M40" s="8">
        <v>9105</v>
      </c>
      <c r="N40">
        <v>1</v>
      </c>
      <c r="O40">
        <v>0</v>
      </c>
      <c r="P40" s="8">
        <v>0</v>
      </c>
      <c r="Q40" s="8">
        <v>0</v>
      </c>
      <c r="R40" s="8">
        <v>0</v>
      </c>
      <c r="S40">
        <v>2</v>
      </c>
      <c r="T40">
        <v>2</v>
      </c>
      <c r="U40" t="s">
        <v>57</v>
      </c>
      <c r="V40" t="s">
        <v>217</v>
      </c>
      <c r="W40" t="s">
        <v>218</v>
      </c>
      <c r="X40" t="s">
        <v>41</v>
      </c>
      <c r="Y40">
        <v>40</v>
      </c>
      <c r="Z40" t="s">
        <v>42</v>
      </c>
      <c r="AA40" t="s">
        <v>219</v>
      </c>
      <c r="AB40" t="s">
        <v>44</v>
      </c>
    </row>
    <row r="41" spans="1:28" ht="20" customHeight="1">
      <c r="A41" t="s">
        <v>30</v>
      </c>
      <c r="B41" t="s">
        <v>84</v>
      </c>
      <c r="C41" t="s">
        <v>220</v>
      </c>
      <c r="D41" s="7">
        <v>46272.47569444445</v>
      </c>
      <c r="E41" t="s">
        <v>47</v>
      </c>
      <c r="F41" t="s">
        <v>34</v>
      </c>
      <c r="G41" t="s">
        <v>35</v>
      </c>
      <c r="H41" t="s">
        <v>35</v>
      </c>
      <c r="I41" t="s">
        <v>48</v>
      </c>
      <c r="J41" t="s">
        <v>49</v>
      </c>
      <c r="K41" s="8">
        <v>9157.68</v>
      </c>
      <c r="L41" s="8">
        <v>9157.68</v>
      </c>
      <c r="M41" s="8">
        <v>10256.6</v>
      </c>
      <c r="N41">
        <v>1</v>
      </c>
      <c r="O41">
        <v>0</v>
      </c>
      <c r="P41" s="8">
        <v>0</v>
      </c>
      <c r="Q41" s="8">
        <v>0</v>
      </c>
      <c r="R41" s="8">
        <v>0</v>
      </c>
      <c r="S41">
        <v>2</v>
      </c>
      <c r="T41">
        <v>4</v>
      </c>
      <c r="U41" t="s">
        <v>57</v>
      </c>
      <c r="V41" t="s">
        <v>221</v>
      </c>
      <c r="W41" t="s">
        <v>222</v>
      </c>
      <c r="X41" t="s">
        <v>41</v>
      </c>
      <c r="Y41">
        <v>41</v>
      </c>
      <c r="Z41" t="s">
        <v>42</v>
      </c>
      <c r="AA41" t="s">
        <v>223</v>
      </c>
      <c r="AB41" t="s">
        <v>44</v>
      </c>
    </row>
    <row r="42" spans="1:28" ht="20" customHeight="1">
      <c r="A42" t="s">
        <v>30</v>
      </c>
      <c r="B42" t="s">
        <v>84</v>
      </c>
      <c r="C42" t="s">
        <v>224</v>
      </c>
      <c r="D42" s="7">
        <v>46272.5875</v>
      </c>
      <c r="E42" t="s">
        <v>47</v>
      </c>
      <c r="F42" t="s">
        <v>34</v>
      </c>
      <c r="G42" t="s">
        <v>35</v>
      </c>
      <c r="H42" t="s">
        <v>175</v>
      </c>
      <c r="I42" t="s">
        <v>48</v>
      </c>
      <c r="J42" t="s">
        <v>49</v>
      </c>
      <c r="K42" s="8">
        <v>21785.71</v>
      </c>
      <c r="L42" s="8">
        <v>21785.71</v>
      </c>
      <c r="M42" s="8">
        <v>24400</v>
      </c>
      <c r="N42">
        <v>1</v>
      </c>
      <c r="O42">
        <v>0</v>
      </c>
      <c r="P42" s="8">
        <v>0</v>
      </c>
      <c r="Q42" s="8">
        <v>0</v>
      </c>
      <c r="R42" s="8">
        <v>0</v>
      </c>
      <c r="S42">
        <v>2</v>
      </c>
      <c r="T42">
        <v>4</v>
      </c>
      <c r="U42" t="s">
        <v>80</v>
      </c>
      <c r="V42" t="s">
        <v>164</v>
      </c>
      <c r="W42" t="s">
        <v>225</v>
      </c>
      <c r="X42" t="s">
        <v>41</v>
      </c>
      <c r="Y42">
        <v>42</v>
      </c>
      <c r="Z42" t="s">
        <v>42</v>
      </c>
      <c r="AA42" t="s">
        <v>226</v>
      </c>
      <c r="AB42" t="s">
        <v>44</v>
      </c>
    </row>
    <row r="43" spans="1:28" ht="20" customHeight="1">
      <c r="A43" t="s">
        <v>30</v>
      </c>
      <c r="B43" t="s">
        <v>227</v>
      </c>
      <c r="C43" t="s">
        <v>228</v>
      </c>
      <c r="D43" s="7">
        <v>46273.93611111111</v>
      </c>
      <c r="E43" t="s">
        <v>56</v>
      </c>
      <c r="F43" t="s">
        <v>34</v>
      </c>
      <c r="G43" t="s">
        <v>35</v>
      </c>
      <c r="H43" t="s">
        <v>35</v>
      </c>
      <c r="I43" t="s">
        <v>36</v>
      </c>
      <c r="J43" t="s">
        <v>37</v>
      </c>
      <c r="K43" s="8">
        <v>24883.93</v>
      </c>
      <c r="L43" s="8">
        <v>0</v>
      </c>
      <c r="M43" s="8">
        <v>27870</v>
      </c>
      <c r="N43">
        <v>0</v>
      </c>
      <c r="O43">
        <v>0</v>
      </c>
      <c r="P43" s="8">
        <v>24883.93</v>
      </c>
      <c r="Q43" s="8">
        <v>0</v>
      </c>
      <c r="R43" s="8">
        <v>0</v>
      </c>
      <c r="S43">
        <v>2</v>
      </c>
      <c r="T43">
        <v>4</v>
      </c>
      <c r="U43" t="s">
        <v>229</v>
      </c>
      <c r="V43" t="s">
        <v>230</v>
      </c>
      <c r="W43" t="s">
        <v>231</v>
      </c>
      <c r="X43" t="s">
        <v>41</v>
      </c>
      <c r="Y43">
        <v>43</v>
      </c>
      <c r="Z43" t="s">
        <v>42</v>
      </c>
      <c r="AA43" t="s">
        <v>232</v>
      </c>
      <c r="AB43" t="s">
        <v>44</v>
      </c>
    </row>
    <row r="44" spans="1:28" ht="20" customHeight="1">
      <c r="A44" t="s">
        <v>30</v>
      </c>
      <c r="B44" t="s">
        <v>84</v>
      </c>
      <c r="C44" t="s">
        <v>233</v>
      </c>
      <c r="D44" s="7">
        <v>46274.4</v>
      </c>
      <c r="E44" t="s">
        <v>56</v>
      </c>
      <c r="F44" t="s">
        <v>34</v>
      </c>
      <c r="G44" t="s">
        <v>35</v>
      </c>
      <c r="H44" t="s">
        <v>35</v>
      </c>
      <c r="I44" t="s">
        <v>36</v>
      </c>
      <c r="J44" t="s">
        <v>37</v>
      </c>
      <c r="K44" s="8">
        <v>7950.54</v>
      </c>
      <c r="L44" s="8">
        <v>0</v>
      </c>
      <c r="M44" s="8">
        <v>8904.6</v>
      </c>
      <c r="N44">
        <v>0</v>
      </c>
      <c r="O44">
        <v>0</v>
      </c>
      <c r="P44" s="8">
        <v>7950.54</v>
      </c>
      <c r="Q44" s="8">
        <v>0</v>
      </c>
      <c r="R44" s="8">
        <v>0</v>
      </c>
      <c r="S44">
        <v>2</v>
      </c>
      <c r="T44">
        <v>4</v>
      </c>
      <c r="U44" t="s">
        <v>234</v>
      </c>
      <c r="V44" t="s">
        <v>235</v>
      </c>
      <c r="W44" t="s">
        <v>236</v>
      </c>
      <c r="X44" t="s">
        <v>41</v>
      </c>
      <c r="Y44">
        <v>44</v>
      </c>
      <c r="Z44" t="s">
        <v>42</v>
      </c>
      <c r="AA44" t="s">
        <v>237</v>
      </c>
      <c r="AB44" t="s">
        <v>44</v>
      </c>
    </row>
    <row r="45" spans="1:28" ht="20" customHeight="1">
      <c r="A45" t="s">
        <v>30</v>
      </c>
      <c r="B45" t="s">
        <v>61</v>
      </c>
      <c r="C45" t="s">
        <v>238</v>
      </c>
      <c r="D45" s="7">
        <v>46274.76875</v>
      </c>
      <c r="E45" t="s">
        <v>56</v>
      </c>
      <c r="F45" t="s">
        <v>34</v>
      </c>
      <c r="G45" t="s">
        <v>35</v>
      </c>
      <c r="H45" t="s">
        <v>35</v>
      </c>
      <c r="I45" t="s">
        <v>48</v>
      </c>
      <c r="J45" t="s">
        <v>49</v>
      </c>
      <c r="K45" s="8">
        <v>31281.07</v>
      </c>
      <c r="L45" s="8">
        <v>31281.07</v>
      </c>
      <c r="M45" s="8">
        <v>35034.8</v>
      </c>
      <c r="N45">
        <v>1</v>
      </c>
      <c r="O45">
        <v>0</v>
      </c>
      <c r="P45" s="8">
        <v>0</v>
      </c>
      <c r="Q45" s="8">
        <v>0</v>
      </c>
      <c r="R45" s="8">
        <v>0</v>
      </c>
      <c r="S45">
        <v>2</v>
      </c>
      <c r="T45">
        <v>4</v>
      </c>
      <c r="U45" t="s">
        <v>101</v>
      </c>
      <c r="V45" t="s">
        <v>239</v>
      </c>
      <c r="W45" t="s">
        <v>240</v>
      </c>
      <c r="X45" t="s">
        <v>41</v>
      </c>
      <c r="Y45">
        <v>45</v>
      </c>
      <c r="Z45" t="s">
        <v>42</v>
      </c>
      <c r="AA45" t="s">
        <v>241</v>
      </c>
      <c r="AB45" t="s">
        <v>44</v>
      </c>
    </row>
    <row r="46" spans="1:28" ht="20" customHeight="1">
      <c r="A46" t="s">
        <v>30</v>
      </c>
      <c r="B46" t="s">
        <v>105</v>
      </c>
      <c r="C46" t="s">
        <v>242</v>
      </c>
      <c r="D46" s="7">
        <v>46276.38263888889</v>
      </c>
      <c r="E46" t="s">
        <v>56</v>
      </c>
      <c r="F46" t="s">
        <v>34</v>
      </c>
      <c r="G46" t="s">
        <v>35</v>
      </c>
      <c r="I46" t="s">
        <v>68</v>
      </c>
      <c r="J46" t="s">
        <v>49</v>
      </c>
      <c r="K46" s="8">
        <v>6370.54</v>
      </c>
      <c r="L46" s="8">
        <v>0</v>
      </c>
      <c r="M46" s="8">
        <v>7135</v>
      </c>
      <c r="N46">
        <v>0</v>
      </c>
      <c r="O46">
        <v>0</v>
      </c>
      <c r="P46" s="8">
        <v>6370.54</v>
      </c>
      <c r="Q46" s="8">
        <v>0</v>
      </c>
      <c r="R46" s="8">
        <v>0</v>
      </c>
      <c r="S46">
        <v>2</v>
      </c>
      <c r="T46">
        <v>1</v>
      </c>
      <c r="U46" t="s">
        <v>38</v>
      </c>
      <c r="V46" t="s">
        <v>151</v>
      </c>
      <c r="W46" t="s">
        <v>243</v>
      </c>
      <c r="X46" t="s">
        <v>41</v>
      </c>
      <c r="Y46">
        <v>46</v>
      </c>
      <c r="Z46" t="s">
        <v>42</v>
      </c>
      <c r="AA46" t="s">
        <v>244</v>
      </c>
      <c r="AB46" t="s">
        <v>44</v>
      </c>
    </row>
    <row r="47" spans="1:28" ht="20" customHeight="1">
      <c r="A47" t="s">
        <v>30</v>
      </c>
      <c r="B47" t="s">
        <v>61</v>
      </c>
      <c r="C47" t="s">
        <v>245</v>
      </c>
      <c r="D47" s="7">
        <v>46266.53611111111</v>
      </c>
      <c r="E47" t="s">
        <v>47</v>
      </c>
      <c r="F47" t="s">
        <v>34</v>
      </c>
      <c r="G47" t="s">
        <v>35</v>
      </c>
      <c r="H47" t="s">
        <v>35</v>
      </c>
      <c r="I47" t="s">
        <v>48</v>
      </c>
      <c r="J47" t="s">
        <v>49</v>
      </c>
      <c r="K47" s="8">
        <v>9504.110000000001</v>
      </c>
      <c r="L47" s="8">
        <v>9504.110000000001</v>
      </c>
      <c r="M47" s="8">
        <v>10644.6</v>
      </c>
      <c r="N47">
        <v>1</v>
      </c>
      <c r="O47">
        <v>0</v>
      </c>
      <c r="P47" s="8">
        <v>0</v>
      </c>
      <c r="Q47" s="8">
        <v>0</v>
      </c>
      <c r="R47" s="8">
        <v>0</v>
      </c>
      <c r="S47">
        <v>2</v>
      </c>
      <c r="T47">
        <v>4</v>
      </c>
      <c r="U47" t="s">
        <v>57</v>
      </c>
      <c r="V47" t="s">
        <v>107</v>
      </c>
      <c r="W47" t="s">
        <v>246</v>
      </c>
      <c r="X47" t="s">
        <v>41</v>
      </c>
      <c r="Y47">
        <v>47</v>
      </c>
      <c r="Z47" t="s">
        <v>42</v>
      </c>
      <c r="AA47" t="s">
        <v>247</v>
      </c>
      <c r="AB47" t="s">
        <v>44</v>
      </c>
    </row>
    <row r="48" spans="1:28" ht="20" customHeight="1">
      <c r="A48" t="s">
        <v>30</v>
      </c>
      <c r="B48" t="s">
        <v>45</v>
      </c>
      <c r="C48" t="s">
        <v>248</v>
      </c>
      <c r="D48" s="7">
        <v>46266.44375</v>
      </c>
      <c r="E48" t="s">
        <v>47</v>
      </c>
      <c r="F48" t="s">
        <v>34</v>
      </c>
      <c r="G48" t="s">
        <v>35</v>
      </c>
      <c r="I48" t="s">
        <v>48</v>
      </c>
      <c r="J48" t="s">
        <v>49</v>
      </c>
      <c r="K48" s="8">
        <v>6201.43</v>
      </c>
      <c r="L48" s="8">
        <v>6201.43</v>
      </c>
      <c r="M48" s="8">
        <v>6945.6</v>
      </c>
      <c r="N48">
        <v>1</v>
      </c>
      <c r="O48">
        <v>0</v>
      </c>
      <c r="P48" s="8">
        <v>0</v>
      </c>
      <c r="Q48" s="8">
        <v>0</v>
      </c>
      <c r="R48" s="8">
        <v>0</v>
      </c>
      <c r="S48">
        <v>1</v>
      </c>
      <c r="T48">
        <v>2</v>
      </c>
      <c r="U48" t="s">
        <v>80</v>
      </c>
      <c r="V48" t="s">
        <v>249</v>
      </c>
      <c r="W48" t="s">
        <v>250</v>
      </c>
      <c r="X48" t="s">
        <v>41</v>
      </c>
      <c r="Y48">
        <v>48</v>
      </c>
      <c r="Z48" t="s">
        <v>42</v>
      </c>
      <c r="AA48" t="s">
        <v>251</v>
      </c>
      <c r="AB48" t="s">
        <v>44</v>
      </c>
    </row>
    <row r="49" spans="1:28" ht="20" customHeight="1">
      <c r="A49" t="s">
        <v>30</v>
      </c>
      <c r="B49" t="s">
        <v>61</v>
      </c>
      <c r="C49" t="s">
        <v>252</v>
      </c>
      <c r="D49" s="7">
        <v>46266.55972222222</v>
      </c>
      <c r="E49" t="s">
        <v>47</v>
      </c>
      <c r="F49" t="s">
        <v>34</v>
      </c>
      <c r="G49" t="s">
        <v>35</v>
      </c>
      <c r="H49" t="s">
        <v>63</v>
      </c>
      <c r="I49" t="s">
        <v>48</v>
      </c>
      <c r="J49" t="s">
        <v>49</v>
      </c>
      <c r="K49" s="8">
        <v>57267.86</v>
      </c>
      <c r="L49" s="8">
        <v>57267.86</v>
      </c>
      <c r="M49" s="8">
        <v>64140</v>
      </c>
      <c r="N49">
        <v>1</v>
      </c>
      <c r="O49">
        <v>0</v>
      </c>
      <c r="P49" s="8">
        <v>0</v>
      </c>
      <c r="Q49" s="8">
        <v>0</v>
      </c>
      <c r="R49" s="8">
        <v>0</v>
      </c>
      <c r="S49">
        <v>1</v>
      </c>
      <c r="T49">
        <v>4</v>
      </c>
      <c r="U49" t="s">
        <v>50</v>
      </c>
      <c r="V49" t="s">
        <v>253</v>
      </c>
      <c r="W49" t="s">
        <v>254</v>
      </c>
      <c r="X49" t="s">
        <v>41</v>
      </c>
      <c r="Y49">
        <v>49</v>
      </c>
      <c r="Z49" t="s">
        <v>42</v>
      </c>
      <c r="AA49" t="s">
        <v>255</v>
      </c>
      <c r="AB49" t="s">
        <v>44</v>
      </c>
    </row>
    <row r="50" spans="1:28" ht="20" customHeight="1">
      <c r="A50" t="s">
        <v>30</v>
      </c>
      <c r="B50" t="s">
        <v>45</v>
      </c>
      <c r="C50" t="s">
        <v>256</v>
      </c>
      <c r="D50" s="7">
        <v>46278.90694444445</v>
      </c>
      <c r="E50" t="s">
        <v>56</v>
      </c>
      <c r="F50" t="s">
        <v>34</v>
      </c>
      <c r="G50" t="s">
        <v>35</v>
      </c>
      <c r="I50" t="s">
        <v>132</v>
      </c>
      <c r="J50" t="s">
        <v>68</v>
      </c>
      <c r="K50" s="8">
        <v>10851.25</v>
      </c>
      <c r="L50" s="8">
        <v>0</v>
      </c>
      <c r="M50" s="8">
        <v>12153.4</v>
      </c>
      <c r="N50">
        <v>0</v>
      </c>
      <c r="O50">
        <v>1</v>
      </c>
      <c r="P50" s="8">
        <v>0</v>
      </c>
      <c r="Q50" s="8">
        <v>10851.25</v>
      </c>
      <c r="R50" s="8">
        <v>0</v>
      </c>
      <c r="S50">
        <v>1</v>
      </c>
      <c r="T50">
        <v>4</v>
      </c>
      <c r="U50" t="s">
        <v>80</v>
      </c>
      <c r="V50" t="s">
        <v>133</v>
      </c>
      <c r="W50" t="s">
        <v>257</v>
      </c>
      <c r="X50" t="s">
        <v>41</v>
      </c>
      <c r="Y50">
        <v>50</v>
      </c>
      <c r="Z50" t="s">
        <v>42</v>
      </c>
      <c r="AA50" t="s">
        <v>258</v>
      </c>
      <c r="AB50" t="s">
        <v>44</v>
      </c>
    </row>
    <row r="51" spans="1:28" ht="20" customHeight="1">
      <c r="A51" t="s">
        <v>30</v>
      </c>
      <c r="B51" t="s">
        <v>61</v>
      </c>
      <c r="C51" t="s">
        <v>259</v>
      </c>
      <c r="D51" s="7">
        <v>46279.32847222222</v>
      </c>
      <c r="E51" t="s">
        <v>56</v>
      </c>
      <c r="F51" t="s">
        <v>34</v>
      </c>
      <c r="G51" t="s">
        <v>35</v>
      </c>
      <c r="H51" t="s">
        <v>35</v>
      </c>
      <c r="I51" t="s">
        <v>132</v>
      </c>
      <c r="J51" t="s">
        <v>68</v>
      </c>
      <c r="K51" s="8">
        <v>43410.71</v>
      </c>
      <c r="L51" s="8">
        <v>0</v>
      </c>
      <c r="M51" s="8">
        <v>48620</v>
      </c>
      <c r="N51">
        <v>0</v>
      </c>
      <c r="O51">
        <v>1</v>
      </c>
      <c r="P51" s="8">
        <v>0</v>
      </c>
      <c r="Q51" s="8">
        <v>43410.71</v>
      </c>
      <c r="R51" s="8">
        <v>0</v>
      </c>
      <c r="S51">
        <v>1</v>
      </c>
      <c r="T51">
        <v>4</v>
      </c>
      <c r="U51" t="s">
        <v>50</v>
      </c>
      <c r="V51" t="s">
        <v>97</v>
      </c>
      <c r="W51" t="s">
        <v>260</v>
      </c>
      <c r="X51" t="s">
        <v>41</v>
      </c>
      <c r="Y51">
        <v>51</v>
      </c>
      <c r="Z51" t="s">
        <v>42</v>
      </c>
      <c r="AA51" t="s">
        <v>258</v>
      </c>
      <c r="AB51" t="s">
        <v>44</v>
      </c>
    </row>
    <row r="52" spans="1:28" ht="20" customHeight="1">
      <c r="A52" t="s">
        <v>30</v>
      </c>
      <c r="B52" t="s">
        <v>31</v>
      </c>
      <c r="C52" t="s">
        <v>261</v>
      </c>
      <c r="D52" s="7">
        <v>46281.71180555555</v>
      </c>
      <c r="E52" t="s">
        <v>33</v>
      </c>
      <c r="F52" t="s">
        <v>34</v>
      </c>
      <c r="G52" t="s">
        <v>35</v>
      </c>
      <c r="H52" t="s">
        <v>35</v>
      </c>
      <c r="I52" t="s">
        <v>132</v>
      </c>
      <c r="J52" t="s">
        <v>68</v>
      </c>
      <c r="K52" s="8">
        <v>11483.39</v>
      </c>
      <c r="L52" s="8">
        <v>0</v>
      </c>
      <c r="M52" s="8">
        <v>12861.4</v>
      </c>
      <c r="N52">
        <v>0</v>
      </c>
      <c r="O52">
        <v>1</v>
      </c>
      <c r="P52" s="8">
        <v>0</v>
      </c>
      <c r="Q52" s="8">
        <v>11483.39</v>
      </c>
      <c r="R52" s="8">
        <v>0</v>
      </c>
      <c r="S52">
        <v>1</v>
      </c>
      <c r="T52">
        <v>4</v>
      </c>
      <c r="U52" t="s">
        <v>57</v>
      </c>
      <c r="V52" t="s">
        <v>262</v>
      </c>
      <c r="W52" t="s">
        <v>263</v>
      </c>
      <c r="X52" t="s">
        <v>41</v>
      </c>
      <c r="Y52">
        <v>52</v>
      </c>
      <c r="Z52" t="s">
        <v>42</v>
      </c>
      <c r="AA52" t="s">
        <v>264</v>
      </c>
      <c r="AB52" t="s">
        <v>44</v>
      </c>
    </row>
    <row r="53" spans="1:28" ht="20" customHeight="1">
      <c r="A53" t="s">
        <v>30</v>
      </c>
      <c r="B53" t="s">
        <v>227</v>
      </c>
      <c r="C53" t="s">
        <v>265</v>
      </c>
      <c r="D53" s="7">
        <v>46281.84375</v>
      </c>
      <c r="E53" t="s">
        <v>33</v>
      </c>
      <c r="F53" t="s">
        <v>34</v>
      </c>
      <c r="G53" t="s">
        <v>35</v>
      </c>
      <c r="H53" t="s">
        <v>35</v>
      </c>
      <c r="I53" t="s">
        <v>132</v>
      </c>
      <c r="J53" t="s">
        <v>68</v>
      </c>
      <c r="K53" s="8">
        <v>18497.32</v>
      </c>
      <c r="L53" s="8">
        <v>0</v>
      </c>
      <c r="M53" s="8">
        <v>20717</v>
      </c>
      <c r="N53">
        <v>0</v>
      </c>
      <c r="O53">
        <v>1</v>
      </c>
      <c r="P53" s="8">
        <v>0</v>
      </c>
      <c r="Q53" s="8">
        <v>18497.32</v>
      </c>
      <c r="R53" s="8">
        <v>0</v>
      </c>
      <c r="S53">
        <v>1</v>
      </c>
      <c r="T53">
        <v>4</v>
      </c>
      <c r="U53" t="s">
        <v>80</v>
      </c>
      <c r="V53" t="s">
        <v>266</v>
      </c>
      <c r="W53" t="s">
        <v>267</v>
      </c>
      <c r="X53" t="s">
        <v>41</v>
      </c>
      <c r="Y53">
        <v>53</v>
      </c>
      <c r="Z53" t="s">
        <v>42</v>
      </c>
      <c r="AA53" t="s">
        <v>268</v>
      </c>
      <c r="AB53" t="s">
        <v>44</v>
      </c>
    </row>
    <row r="54" spans="1:28" ht="20" customHeight="1">
      <c r="A54" t="s">
        <v>30</v>
      </c>
      <c r="B54" t="s">
        <v>31</v>
      </c>
      <c r="C54" t="s">
        <v>269</v>
      </c>
      <c r="D54" s="7">
        <v>46281.94861111111</v>
      </c>
      <c r="E54" t="s">
        <v>33</v>
      </c>
      <c r="F54" t="s">
        <v>34</v>
      </c>
      <c r="G54" t="s">
        <v>35</v>
      </c>
      <c r="I54" t="s">
        <v>132</v>
      </c>
      <c r="J54" t="s">
        <v>68</v>
      </c>
      <c r="K54" s="8">
        <v>7353.57</v>
      </c>
      <c r="L54" s="8">
        <v>0</v>
      </c>
      <c r="M54" s="8">
        <v>8236</v>
      </c>
      <c r="N54">
        <v>0</v>
      </c>
      <c r="O54">
        <v>1</v>
      </c>
      <c r="P54" s="8">
        <v>0</v>
      </c>
      <c r="Q54" s="8">
        <v>7353.57</v>
      </c>
      <c r="R54" s="8">
        <v>0</v>
      </c>
      <c r="S54">
        <v>1</v>
      </c>
      <c r="T54">
        <v>4</v>
      </c>
      <c r="U54" t="s">
        <v>75</v>
      </c>
      <c r="V54" t="s">
        <v>270</v>
      </c>
      <c r="W54" t="s">
        <v>271</v>
      </c>
      <c r="X54" t="s">
        <v>41</v>
      </c>
      <c r="Y54">
        <v>54</v>
      </c>
      <c r="Z54" t="s">
        <v>42</v>
      </c>
      <c r="AA54" t="s">
        <v>268</v>
      </c>
      <c r="AB54" t="s">
        <v>44</v>
      </c>
    </row>
    <row r="55" spans="1:28" ht="20" customHeight="1">
      <c r="A55" t="s">
        <v>30</v>
      </c>
      <c r="B55" t="s">
        <v>45</v>
      </c>
      <c r="C55" t="s">
        <v>272</v>
      </c>
      <c r="D55" s="7">
        <v>46282.03958333333</v>
      </c>
      <c r="E55" t="s">
        <v>33</v>
      </c>
      <c r="F55" t="s">
        <v>34</v>
      </c>
      <c r="G55" t="s">
        <v>35</v>
      </c>
      <c r="I55" t="s">
        <v>132</v>
      </c>
      <c r="J55" t="s">
        <v>68</v>
      </c>
      <c r="K55" s="8">
        <v>22643.04</v>
      </c>
      <c r="L55" s="8">
        <v>0</v>
      </c>
      <c r="M55" s="8">
        <v>25360.2</v>
      </c>
      <c r="N55">
        <v>0</v>
      </c>
      <c r="O55">
        <v>1</v>
      </c>
      <c r="P55" s="8">
        <v>0</v>
      </c>
      <c r="Q55" s="8">
        <v>22643.04</v>
      </c>
      <c r="R55" s="8">
        <v>0</v>
      </c>
      <c r="S55">
        <v>1</v>
      </c>
      <c r="T55">
        <v>4</v>
      </c>
      <c r="U55" t="s">
        <v>57</v>
      </c>
      <c r="V55" t="s">
        <v>273</v>
      </c>
      <c r="W55" t="s">
        <v>274</v>
      </c>
      <c r="X55" t="s">
        <v>41</v>
      </c>
      <c r="Y55">
        <v>55</v>
      </c>
      <c r="Z55" t="s">
        <v>42</v>
      </c>
      <c r="AA55" t="s">
        <v>275</v>
      </c>
      <c r="AB55" t="s">
        <v>44</v>
      </c>
    </row>
    <row r="56" spans="1:28" ht="20" customHeight="1">
      <c r="A56" t="s">
        <v>30</v>
      </c>
      <c r="B56" t="s">
        <v>31</v>
      </c>
      <c r="C56" t="s">
        <v>276</v>
      </c>
      <c r="D56" s="7">
        <v>46283.40416666667</v>
      </c>
      <c r="E56" t="s">
        <v>33</v>
      </c>
      <c r="F56" t="s">
        <v>34</v>
      </c>
      <c r="G56" t="s">
        <v>35</v>
      </c>
      <c r="H56" t="s">
        <v>35</v>
      </c>
      <c r="I56" t="s">
        <v>48</v>
      </c>
      <c r="J56" t="s">
        <v>69</v>
      </c>
      <c r="K56" s="8">
        <v>11168.84</v>
      </c>
      <c r="L56" s="8">
        <v>11168.84</v>
      </c>
      <c r="M56" s="8">
        <v>12509.1</v>
      </c>
      <c r="N56">
        <v>1</v>
      </c>
      <c r="O56">
        <v>0</v>
      </c>
      <c r="P56" s="8">
        <v>0</v>
      </c>
      <c r="Q56" s="8">
        <v>0</v>
      </c>
      <c r="R56" s="8">
        <v>0</v>
      </c>
      <c r="S56">
        <v>1</v>
      </c>
      <c r="T56">
        <v>2</v>
      </c>
      <c r="U56" t="s">
        <v>127</v>
      </c>
      <c r="V56" t="s">
        <v>277</v>
      </c>
      <c r="W56" t="s">
        <v>278</v>
      </c>
      <c r="X56" t="s">
        <v>41</v>
      </c>
      <c r="Y56">
        <v>56</v>
      </c>
      <c r="Z56" t="s">
        <v>42</v>
      </c>
      <c r="AA56" t="s">
        <v>279</v>
      </c>
      <c r="AB56" t="s">
        <v>44</v>
      </c>
    </row>
    <row r="57" spans="1:28" ht="20" customHeight="1">
      <c r="A57" t="s">
        <v>30</v>
      </c>
      <c r="B57" t="s">
        <v>31</v>
      </c>
      <c r="C57" t="s">
        <v>280</v>
      </c>
      <c r="D57" s="7">
        <v>46287.75347222222</v>
      </c>
      <c r="E57" t="s">
        <v>146</v>
      </c>
      <c r="F57" t="s">
        <v>34</v>
      </c>
      <c r="G57" t="s">
        <v>35</v>
      </c>
      <c r="H57" t="s">
        <v>35</v>
      </c>
      <c r="I57" t="s">
        <v>132</v>
      </c>
      <c r="J57" t="s">
        <v>68</v>
      </c>
      <c r="K57" s="8">
        <v>19459.82</v>
      </c>
      <c r="L57" s="8">
        <v>0</v>
      </c>
      <c r="M57" s="8">
        <v>21795</v>
      </c>
      <c r="N57">
        <v>0</v>
      </c>
      <c r="O57">
        <v>1</v>
      </c>
      <c r="P57" s="8">
        <v>0</v>
      </c>
      <c r="Q57" s="8">
        <v>19459.82</v>
      </c>
      <c r="R57" s="8">
        <v>0</v>
      </c>
      <c r="S57">
        <v>1</v>
      </c>
      <c r="T57">
        <v>4</v>
      </c>
      <c r="U57" t="s">
        <v>50</v>
      </c>
      <c r="V57" t="s">
        <v>281</v>
      </c>
      <c r="W57" t="s">
        <v>282</v>
      </c>
      <c r="X57" t="s">
        <v>41</v>
      </c>
      <c r="Y57">
        <v>57</v>
      </c>
      <c r="Z57" t="s">
        <v>42</v>
      </c>
      <c r="AA57" t="s">
        <v>283</v>
      </c>
      <c r="AB57" t="s">
        <v>44</v>
      </c>
    </row>
    <row r="58" spans="1:28" ht="20" customHeight="1">
      <c r="A58" t="s">
        <v>30</v>
      </c>
      <c r="B58" t="s">
        <v>31</v>
      </c>
      <c r="C58" t="s">
        <v>284</v>
      </c>
      <c r="D58" s="7">
        <v>46267.40138888889</v>
      </c>
      <c r="E58" t="s">
        <v>47</v>
      </c>
      <c r="F58" t="s">
        <v>34</v>
      </c>
      <c r="G58" t="s">
        <v>35</v>
      </c>
      <c r="H58" t="s">
        <v>35</v>
      </c>
      <c r="I58" t="s">
        <v>48</v>
      </c>
      <c r="J58" t="s">
        <v>49</v>
      </c>
      <c r="K58" s="8">
        <v>32340.36</v>
      </c>
      <c r="L58" s="8">
        <v>32340.36</v>
      </c>
      <c r="M58" s="8">
        <v>36221.2</v>
      </c>
      <c r="N58">
        <v>1</v>
      </c>
      <c r="O58">
        <v>0</v>
      </c>
      <c r="P58" s="8">
        <v>0</v>
      </c>
      <c r="Q58" s="8">
        <v>0</v>
      </c>
      <c r="R58" s="8">
        <v>0</v>
      </c>
      <c r="S58">
        <v>1</v>
      </c>
      <c r="T58">
        <v>4</v>
      </c>
      <c r="U58" t="s">
        <v>75</v>
      </c>
      <c r="V58" t="s">
        <v>285</v>
      </c>
      <c r="W58" t="s">
        <v>286</v>
      </c>
      <c r="X58" t="s">
        <v>41</v>
      </c>
      <c r="Y58">
        <v>58</v>
      </c>
      <c r="Z58" t="s">
        <v>42</v>
      </c>
      <c r="AA58" t="s">
        <v>287</v>
      </c>
      <c r="AB58" t="s">
        <v>44</v>
      </c>
    </row>
    <row r="59" spans="1:28" ht="20" customHeight="1">
      <c r="A59" t="s">
        <v>30</v>
      </c>
      <c r="B59" t="s">
        <v>61</v>
      </c>
      <c r="C59" t="s">
        <v>288</v>
      </c>
      <c r="D59" s="7">
        <v>46269.66805555556</v>
      </c>
      <c r="E59" t="s">
        <v>47</v>
      </c>
      <c r="F59" t="s">
        <v>34</v>
      </c>
      <c r="G59" t="s">
        <v>35</v>
      </c>
      <c r="I59" t="s">
        <v>132</v>
      </c>
      <c r="J59" t="s">
        <v>68</v>
      </c>
      <c r="K59" s="8">
        <v>7332.32</v>
      </c>
      <c r="L59" s="8">
        <v>0</v>
      </c>
      <c r="M59" s="8">
        <v>8212.200000000001</v>
      </c>
      <c r="N59">
        <v>0</v>
      </c>
      <c r="O59">
        <v>1</v>
      </c>
      <c r="P59" s="8">
        <v>0</v>
      </c>
      <c r="Q59" s="8">
        <v>7332.32</v>
      </c>
      <c r="R59" s="8">
        <v>0</v>
      </c>
      <c r="S59">
        <v>1</v>
      </c>
      <c r="T59">
        <v>4</v>
      </c>
      <c r="U59" t="s">
        <v>289</v>
      </c>
      <c r="V59" t="s">
        <v>290</v>
      </c>
      <c r="W59" t="s">
        <v>291</v>
      </c>
      <c r="X59" t="s">
        <v>41</v>
      </c>
      <c r="Y59">
        <v>59</v>
      </c>
      <c r="Z59" t="s">
        <v>42</v>
      </c>
      <c r="AA59" t="s">
        <v>292</v>
      </c>
      <c r="AB59" t="s">
        <v>44</v>
      </c>
    </row>
    <row r="60" spans="1:28" ht="20" customHeight="1">
      <c r="A60" t="s">
        <v>30</v>
      </c>
      <c r="B60" t="s">
        <v>227</v>
      </c>
      <c r="C60" t="s">
        <v>293</v>
      </c>
      <c r="D60" s="7">
        <v>46269.92986111111</v>
      </c>
      <c r="E60" t="s">
        <v>47</v>
      </c>
      <c r="F60" t="s">
        <v>34</v>
      </c>
      <c r="G60" t="s">
        <v>35</v>
      </c>
      <c r="I60" t="s">
        <v>132</v>
      </c>
      <c r="J60" t="s">
        <v>68</v>
      </c>
      <c r="K60" s="8">
        <v>9103.040000000001</v>
      </c>
      <c r="L60" s="8">
        <v>0</v>
      </c>
      <c r="M60" s="8">
        <v>10195.4</v>
      </c>
      <c r="N60">
        <v>0</v>
      </c>
      <c r="O60">
        <v>1</v>
      </c>
      <c r="P60" s="8">
        <v>0</v>
      </c>
      <c r="Q60" s="8">
        <v>9103.040000000001</v>
      </c>
      <c r="R60" s="8">
        <v>0</v>
      </c>
      <c r="S60">
        <v>1</v>
      </c>
      <c r="T60">
        <v>4</v>
      </c>
      <c r="U60" t="s">
        <v>294</v>
      </c>
      <c r="V60" t="s">
        <v>295</v>
      </c>
      <c r="W60" t="s">
        <v>296</v>
      </c>
      <c r="X60" t="s">
        <v>41</v>
      </c>
      <c r="Y60">
        <v>60</v>
      </c>
      <c r="Z60" t="s">
        <v>42</v>
      </c>
      <c r="AA60" t="s">
        <v>297</v>
      </c>
      <c r="AB60" t="s">
        <v>44</v>
      </c>
    </row>
    <row r="61" spans="1:28" ht="20" customHeight="1">
      <c r="A61" t="s">
        <v>30</v>
      </c>
      <c r="B61" t="s">
        <v>227</v>
      </c>
      <c r="C61" t="s">
        <v>298</v>
      </c>
      <c r="D61" s="7">
        <v>46269.96527777778</v>
      </c>
      <c r="E61" t="s">
        <v>47</v>
      </c>
      <c r="F61" t="s">
        <v>34</v>
      </c>
      <c r="G61" t="s">
        <v>35</v>
      </c>
      <c r="I61" t="s">
        <v>132</v>
      </c>
      <c r="J61" t="s">
        <v>68</v>
      </c>
      <c r="K61" s="8">
        <v>11772.5</v>
      </c>
      <c r="L61" s="8">
        <v>0</v>
      </c>
      <c r="M61" s="8">
        <v>13185.2</v>
      </c>
      <c r="N61">
        <v>0</v>
      </c>
      <c r="O61">
        <v>1</v>
      </c>
      <c r="P61" s="8">
        <v>0</v>
      </c>
      <c r="Q61" s="8">
        <v>11772.5</v>
      </c>
      <c r="R61" s="8">
        <v>0</v>
      </c>
      <c r="S61">
        <v>1</v>
      </c>
      <c r="T61">
        <v>4</v>
      </c>
      <c r="U61" t="s">
        <v>299</v>
      </c>
      <c r="V61" t="s">
        <v>300</v>
      </c>
      <c r="W61" t="s">
        <v>301</v>
      </c>
      <c r="X61" t="s">
        <v>41</v>
      </c>
      <c r="Y61">
        <v>61</v>
      </c>
      <c r="Z61" t="s">
        <v>42</v>
      </c>
      <c r="AA61" t="s">
        <v>302</v>
      </c>
      <c r="AB61" t="s">
        <v>44</v>
      </c>
    </row>
    <row r="62" spans="1:28" ht="20" customHeight="1">
      <c r="A62" t="s">
        <v>30</v>
      </c>
      <c r="B62" t="s">
        <v>61</v>
      </c>
      <c r="C62" t="s">
        <v>303</v>
      </c>
      <c r="D62" s="7">
        <v>46270.65625</v>
      </c>
      <c r="E62" t="s">
        <v>47</v>
      </c>
      <c r="F62" t="s">
        <v>34</v>
      </c>
      <c r="G62" t="s">
        <v>35</v>
      </c>
      <c r="H62" t="s">
        <v>35</v>
      </c>
      <c r="I62" t="s">
        <v>132</v>
      </c>
      <c r="J62" t="s">
        <v>68</v>
      </c>
      <c r="K62" s="8">
        <v>30293.21</v>
      </c>
      <c r="L62" s="8">
        <v>0</v>
      </c>
      <c r="M62" s="8">
        <v>33928.4</v>
      </c>
      <c r="N62">
        <v>0</v>
      </c>
      <c r="O62">
        <v>1</v>
      </c>
      <c r="P62" s="8">
        <v>0</v>
      </c>
      <c r="Q62" s="8">
        <v>30293.21</v>
      </c>
      <c r="R62" s="8">
        <v>0</v>
      </c>
      <c r="S62">
        <v>1</v>
      </c>
      <c r="T62">
        <v>4</v>
      </c>
      <c r="U62" t="s">
        <v>80</v>
      </c>
      <c r="V62" t="s">
        <v>304</v>
      </c>
      <c r="W62" t="s">
        <v>305</v>
      </c>
      <c r="X62" t="s">
        <v>41</v>
      </c>
      <c r="Y62">
        <v>62</v>
      </c>
      <c r="Z62" t="s">
        <v>42</v>
      </c>
      <c r="AA62" t="s">
        <v>297</v>
      </c>
      <c r="AB62" t="s">
        <v>44</v>
      </c>
    </row>
    <row r="63" spans="1:28" ht="20" customHeight="1">
      <c r="A63" t="s">
        <v>30</v>
      </c>
      <c r="B63" t="s">
        <v>61</v>
      </c>
      <c r="C63" t="s">
        <v>306</v>
      </c>
      <c r="D63" s="7">
        <v>46271.94722222222</v>
      </c>
      <c r="E63" t="s">
        <v>47</v>
      </c>
      <c r="F63" t="s">
        <v>34</v>
      </c>
      <c r="G63" t="s">
        <v>35</v>
      </c>
      <c r="H63" t="s">
        <v>35</v>
      </c>
      <c r="I63" t="s">
        <v>132</v>
      </c>
      <c r="J63" t="s">
        <v>68</v>
      </c>
      <c r="K63" s="8">
        <v>32781.25</v>
      </c>
      <c r="L63" s="8">
        <v>0</v>
      </c>
      <c r="M63" s="8">
        <v>36715</v>
      </c>
      <c r="N63">
        <v>0</v>
      </c>
      <c r="O63">
        <v>1</v>
      </c>
      <c r="P63" s="8">
        <v>0</v>
      </c>
      <c r="Q63" s="8">
        <v>32781.25</v>
      </c>
      <c r="R63" s="8">
        <v>0</v>
      </c>
      <c r="S63">
        <v>1</v>
      </c>
      <c r="T63">
        <v>4</v>
      </c>
      <c r="U63" t="s">
        <v>50</v>
      </c>
      <c r="V63" t="s">
        <v>307</v>
      </c>
      <c r="W63" t="s">
        <v>308</v>
      </c>
      <c r="X63" t="s">
        <v>41</v>
      </c>
      <c r="Y63">
        <v>63</v>
      </c>
      <c r="Z63" t="s">
        <v>42</v>
      </c>
      <c r="AA63" t="s">
        <v>309</v>
      </c>
      <c r="AB63" t="s">
        <v>44</v>
      </c>
    </row>
    <row r="64" spans="1:28" ht="20" customHeight="1">
      <c r="A64" t="s">
        <v>30</v>
      </c>
      <c r="B64" t="s">
        <v>61</v>
      </c>
      <c r="C64" t="s">
        <v>310</v>
      </c>
      <c r="D64" s="7">
        <v>46271.98888888889</v>
      </c>
      <c r="E64" t="s">
        <v>47</v>
      </c>
      <c r="F64" t="s">
        <v>34</v>
      </c>
      <c r="G64" t="s">
        <v>35</v>
      </c>
      <c r="I64" t="s">
        <v>48</v>
      </c>
      <c r="J64" t="s">
        <v>49</v>
      </c>
      <c r="K64" s="8">
        <v>8185</v>
      </c>
      <c r="L64" s="8">
        <v>8185</v>
      </c>
      <c r="M64" s="8">
        <v>9167.200000000001</v>
      </c>
      <c r="N64">
        <v>1</v>
      </c>
      <c r="O64">
        <v>0</v>
      </c>
      <c r="P64" s="8">
        <v>0</v>
      </c>
      <c r="Q64" s="8">
        <v>0</v>
      </c>
      <c r="R64" s="8">
        <v>0</v>
      </c>
      <c r="S64">
        <v>1</v>
      </c>
      <c r="T64">
        <v>4</v>
      </c>
      <c r="U64" t="s">
        <v>75</v>
      </c>
      <c r="V64" t="s">
        <v>311</v>
      </c>
      <c r="W64" t="s">
        <v>312</v>
      </c>
      <c r="X64" t="s">
        <v>41</v>
      </c>
      <c r="Y64">
        <v>64</v>
      </c>
      <c r="Z64" t="s">
        <v>42</v>
      </c>
      <c r="AA64" t="s">
        <v>313</v>
      </c>
      <c r="AB64" t="s">
        <v>44</v>
      </c>
    </row>
    <row r="65" spans="1:28" ht="20" customHeight="1">
      <c r="A65" t="s">
        <v>30</v>
      </c>
      <c r="B65" t="s">
        <v>84</v>
      </c>
      <c r="C65" t="s">
        <v>314</v>
      </c>
      <c r="D65" s="7">
        <v>46272.71666666667</v>
      </c>
      <c r="E65" t="s">
        <v>47</v>
      </c>
      <c r="F65" t="s">
        <v>34</v>
      </c>
      <c r="G65" t="s">
        <v>35</v>
      </c>
      <c r="H65" t="s">
        <v>35</v>
      </c>
      <c r="I65" t="s">
        <v>48</v>
      </c>
      <c r="J65" t="s">
        <v>49</v>
      </c>
      <c r="K65" s="8">
        <v>2419.64</v>
      </c>
      <c r="L65" s="8">
        <v>2419.64</v>
      </c>
      <c r="M65" s="8">
        <v>2710</v>
      </c>
      <c r="N65">
        <v>1</v>
      </c>
      <c r="O65">
        <v>0</v>
      </c>
      <c r="P65" s="8">
        <v>0</v>
      </c>
      <c r="Q65" s="8">
        <v>0</v>
      </c>
      <c r="R65" s="8">
        <v>0</v>
      </c>
      <c r="S65">
        <v>1</v>
      </c>
      <c r="T65">
        <v>1</v>
      </c>
      <c r="U65" t="s">
        <v>315</v>
      </c>
      <c r="V65" t="s">
        <v>316</v>
      </c>
      <c r="W65" t="s">
        <v>317</v>
      </c>
      <c r="X65" t="s">
        <v>41</v>
      </c>
      <c r="Y65">
        <v>65</v>
      </c>
      <c r="Z65" t="s">
        <v>42</v>
      </c>
      <c r="AA65" t="s">
        <v>318</v>
      </c>
      <c r="AB65" t="s">
        <v>44</v>
      </c>
    </row>
    <row r="66" spans="1:28" ht="20" customHeight="1">
      <c r="A66" t="s">
        <v>30</v>
      </c>
      <c r="B66" t="s">
        <v>84</v>
      </c>
      <c r="C66" t="s">
        <v>319</v>
      </c>
      <c r="D66" s="7">
        <v>46272.86388888889</v>
      </c>
      <c r="E66" t="s">
        <v>47</v>
      </c>
      <c r="F66" t="s">
        <v>34</v>
      </c>
      <c r="G66" t="s">
        <v>35</v>
      </c>
      <c r="I66" t="s">
        <v>132</v>
      </c>
      <c r="J66" t="s">
        <v>68</v>
      </c>
      <c r="K66" s="8">
        <v>21633.93</v>
      </c>
      <c r="L66" s="8">
        <v>0</v>
      </c>
      <c r="M66" s="8">
        <v>24230</v>
      </c>
      <c r="N66">
        <v>0</v>
      </c>
      <c r="O66">
        <v>1</v>
      </c>
      <c r="P66" s="8">
        <v>0</v>
      </c>
      <c r="Q66" s="8">
        <v>21633.93</v>
      </c>
      <c r="R66" s="8">
        <v>0</v>
      </c>
      <c r="S66">
        <v>1</v>
      </c>
      <c r="T66">
        <v>4</v>
      </c>
      <c r="U66" t="s">
        <v>50</v>
      </c>
      <c r="V66" t="s">
        <v>320</v>
      </c>
      <c r="W66" t="s">
        <v>321</v>
      </c>
      <c r="X66" t="s">
        <v>41</v>
      </c>
      <c r="Y66">
        <v>66</v>
      </c>
      <c r="Z66" t="s">
        <v>42</v>
      </c>
      <c r="AA66" t="s">
        <v>322</v>
      </c>
      <c r="AB66" t="s">
        <v>44</v>
      </c>
    </row>
    <row r="67" spans="1:28" ht="20" customHeight="1">
      <c r="A67" t="s">
        <v>30</v>
      </c>
      <c r="B67" t="s">
        <v>105</v>
      </c>
      <c r="C67" t="s">
        <v>323</v>
      </c>
      <c r="D67" s="7">
        <v>46276.35833333333</v>
      </c>
      <c r="E67" t="s">
        <v>56</v>
      </c>
      <c r="F67" t="s">
        <v>34</v>
      </c>
      <c r="G67" t="s">
        <v>35</v>
      </c>
      <c r="H67" t="s">
        <v>35</v>
      </c>
      <c r="I67" t="s">
        <v>48</v>
      </c>
      <c r="J67" t="s">
        <v>49</v>
      </c>
      <c r="K67" s="8">
        <v>9710.360000000001</v>
      </c>
      <c r="L67" s="8">
        <v>9710.360000000001</v>
      </c>
      <c r="M67" s="8">
        <v>10875.6</v>
      </c>
      <c r="N67">
        <v>1</v>
      </c>
      <c r="O67">
        <v>0</v>
      </c>
      <c r="P67" s="8">
        <v>0</v>
      </c>
      <c r="Q67" s="8">
        <v>0</v>
      </c>
      <c r="R67" s="8">
        <v>0</v>
      </c>
      <c r="S67">
        <v>1</v>
      </c>
      <c r="T67">
        <v>2</v>
      </c>
      <c r="U67" t="s">
        <v>324</v>
      </c>
      <c r="V67" t="s">
        <v>325</v>
      </c>
      <c r="W67" t="s">
        <v>326</v>
      </c>
      <c r="X67" t="s">
        <v>41</v>
      </c>
      <c r="Y67">
        <v>67</v>
      </c>
      <c r="Z67" t="s">
        <v>42</v>
      </c>
      <c r="AA67" t="s">
        <v>327</v>
      </c>
      <c r="AB67" t="s">
        <v>44</v>
      </c>
    </row>
    <row r="68" spans="1:28" ht="20" customHeight="1">
      <c r="A68" t="s">
        <v>30</v>
      </c>
      <c r="B68" t="s">
        <v>45</v>
      </c>
      <c r="C68" t="s">
        <v>328</v>
      </c>
      <c r="D68" s="7">
        <v>46276.74930555555</v>
      </c>
      <c r="E68" t="s">
        <v>56</v>
      </c>
      <c r="F68" t="s">
        <v>34</v>
      </c>
      <c r="G68" t="s">
        <v>35</v>
      </c>
      <c r="H68" t="s">
        <v>35</v>
      </c>
      <c r="I68" t="s">
        <v>132</v>
      </c>
      <c r="J68" t="s">
        <v>68</v>
      </c>
      <c r="K68" s="8">
        <v>13805.71</v>
      </c>
      <c r="L68" s="8">
        <v>0</v>
      </c>
      <c r="M68" s="8">
        <v>15462.4</v>
      </c>
      <c r="N68">
        <v>0</v>
      </c>
      <c r="O68">
        <v>1</v>
      </c>
      <c r="P68" s="8">
        <v>0</v>
      </c>
      <c r="Q68" s="8">
        <v>13805.71</v>
      </c>
      <c r="R68" s="8">
        <v>0</v>
      </c>
      <c r="S68">
        <v>1</v>
      </c>
      <c r="T68">
        <v>4</v>
      </c>
      <c r="U68" t="s">
        <v>38</v>
      </c>
      <c r="V68" t="s">
        <v>329</v>
      </c>
      <c r="W68" t="s">
        <v>330</v>
      </c>
      <c r="X68" t="s">
        <v>41</v>
      </c>
      <c r="Y68">
        <v>68</v>
      </c>
      <c r="Z68" t="s">
        <v>42</v>
      </c>
      <c r="AA68" t="s">
        <v>331</v>
      </c>
      <c r="AB68" t="s">
        <v>44</v>
      </c>
    </row>
    <row r="69" spans="1:28" ht="20" customHeight="1">
      <c r="A69" t="s">
        <v>30</v>
      </c>
      <c r="B69" t="s">
        <v>31</v>
      </c>
      <c r="C69" t="s">
        <v>332</v>
      </c>
      <c r="D69" s="7">
        <v>46276.84652777778</v>
      </c>
      <c r="E69" t="s">
        <v>56</v>
      </c>
      <c r="F69" t="s">
        <v>34</v>
      </c>
      <c r="G69" t="s">
        <v>35</v>
      </c>
      <c r="H69" t="s">
        <v>35</v>
      </c>
      <c r="I69" t="s">
        <v>132</v>
      </c>
      <c r="J69" t="s">
        <v>68</v>
      </c>
      <c r="K69" s="8">
        <v>13348.21</v>
      </c>
      <c r="L69" s="8">
        <v>0</v>
      </c>
      <c r="M69" s="8">
        <v>14950</v>
      </c>
      <c r="N69">
        <v>0</v>
      </c>
      <c r="O69">
        <v>1</v>
      </c>
      <c r="P69" s="8">
        <v>0</v>
      </c>
      <c r="Q69" s="8">
        <v>13348.21</v>
      </c>
      <c r="R69" s="8">
        <v>0</v>
      </c>
      <c r="S69">
        <v>1</v>
      </c>
      <c r="T69">
        <v>4</v>
      </c>
      <c r="U69" t="s">
        <v>80</v>
      </c>
      <c r="V69" t="s">
        <v>114</v>
      </c>
      <c r="W69" t="s">
        <v>333</v>
      </c>
      <c r="X69" t="s">
        <v>41</v>
      </c>
      <c r="Y69">
        <v>69</v>
      </c>
      <c r="Z69" t="s">
        <v>42</v>
      </c>
      <c r="AA69" t="s">
        <v>331</v>
      </c>
      <c r="AB69" t="s">
        <v>44</v>
      </c>
    </row>
    <row r="70" spans="1:28" ht="20" customHeight="1">
      <c r="A70" t="s">
        <v>334</v>
      </c>
      <c r="B70" t="s">
        <v>335</v>
      </c>
      <c r="C70" t="s">
        <v>336</v>
      </c>
      <c r="D70" s="7">
        <v>46281.82083333333</v>
      </c>
      <c r="E70" t="s">
        <v>33</v>
      </c>
      <c r="F70" t="s">
        <v>34</v>
      </c>
      <c r="G70" t="s">
        <v>35</v>
      </c>
      <c r="H70" t="s">
        <v>35</v>
      </c>
      <c r="I70" t="s">
        <v>132</v>
      </c>
      <c r="J70" t="s">
        <v>68</v>
      </c>
      <c r="K70" s="8">
        <v>12025.18</v>
      </c>
      <c r="L70" s="8">
        <v>0</v>
      </c>
      <c r="M70" s="8">
        <v>13468.2</v>
      </c>
      <c r="N70">
        <v>0</v>
      </c>
      <c r="O70">
        <v>1</v>
      </c>
      <c r="P70" s="8">
        <v>0</v>
      </c>
      <c r="Q70" s="8">
        <v>12025.18</v>
      </c>
      <c r="R70" s="8">
        <v>0</v>
      </c>
      <c r="S70">
        <v>3</v>
      </c>
      <c r="T70">
        <v>2</v>
      </c>
      <c r="U70" t="s">
        <v>80</v>
      </c>
      <c r="V70" t="s">
        <v>337</v>
      </c>
      <c r="W70" t="s">
        <v>338</v>
      </c>
      <c r="X70" t="s">
        <v>339</v>
      </c>
      <c r="Y70">
        <v>2</v>
      </c>
      <c r="Z70" t="s">
        <v>42</v>
      </c>
      <c r="AA70" t="s">
        <v>264</v>
      </c>
      <c r="AB70" t="s">
        <v>44</v>
      </c>
    </row>
    <row r="71" spans="1:28" ht="20" customHeight="1">
      <c r="A71" t="s">
        <v>334</v>
      </c>
      <c r="B71" t="s">
        <v>340</v>
      </c>
      <c r="C71" t="s">
        <v>341</v>
      </c>
      <c r="D71" s="7">
        <v>46272.49652777778</v>
      </c>
      <c r="E71" t="s">
        <v>47</v>
      </c>
      <c r="F71" t="s">
        <v>34</v>
      </c>
      <c r="G71" t="s">
        <v>342</v>
      </c>
      <c r="H71" t="s">
        <v>175</v>
      </c>
      <c r="I71" t="s">
        <v>48</v>
      </c>
      <c r="J71" t="s">
        <v>49</v>
      </c>
      <c r="K71" s="8">
        <v>14615.36</v>
      </c>
      <c r="L71" s="8">
        <v>14615.36</v>
      </c>
      <c r="M71" s="8">
        <v>16369.2</v>
      </c>
      <c r="N71">
        <v>1</v>
      </c>
      <c r="O71">
        <v>0</v>
      </c>
      <c r="P71" s="8">
        <v>0</v>
      </c>
      <c r="Q71" s="8">
        <v>0</v>
      </c>
      <c r="R71" s="8">
        <v>0</v>
      </c>
      <c r="S71">
        <v>2</v>
      </c>
      <c r="T71">
        <v>4</v>
      </c>
      <c r="U71" t="s">
        <v>57</v>
      </c>
      <c r="V71" t="s">
        <v>343</v>
      </c>
      <c r="W71" t="s">
        <v>344</v>
      </c>
      <c r="X71" t="s">
        <v>339</v>
      </c>
      <c r="Y71">
        <v>3</v>
      </c>
      <c r="Z71" t="s">
        <v>42</v>
      </c>
      <c r="AA71" t="s">
        <v>345</v>
      </c>
      <c r="AB71" t="s">
        <v>44</v>
      </c>
    </row>
    <row r="72" spans="1:28" ht="20" customHeight="1">
      <c r="A72" t="s">
        <v>334</v>
      </c>
      <c r="B72" t="s">
        <v>335</v>
      </c>
      <c r="C72" t="s">
        <v>346</v>
      </c>
      <c r="D72" s="7">
        <v>46276.68819444445</v>
      </c>
      <c r="E72" t="s">
        <v>56</v>
      </c>
      <c r="F72" t="s">
        <v>34</v>
      </c>
      <c r="G72" t="s">
        <v>35</v>
      </c>
      <c r="H72" t="s">
        <v>35</v>
      </c>
      <c r="I72" t="s">
        <v>48</v>
      </c>
      <c r="J72" t="s">
        <v>49</v>
      </c>
      <c r="K72" s="8">
        <v>8540.18</v>
      </c>
      <c r="L72" s="8">
        <v>8540.18</v>
      </c>
      <c r="M72" s="8">
        <v>9565</v>
      </c>
      <c r="N72">
        <v>1</v>
      </c>
      <c r="O72">
        <v>0</v>
      </c>
      <c r="P72" s="8">
        <v>0</v>
      </c>
      <c r="Q72" s="8">
        <v>0</v>
      </c>
      <c r="R72" s="8">
        <v>0</v>
      </c>
      <c r="S72">
        <v>2</v>
      </c>
      <c r="T72">
        <v>1</v>
      </c>
      <c r="U72" t="s">
        <v>195</v>
      </c>
      <c r="V72" t="s">
        <v>347</v>
      </c>
      <c r="W72" t="s">
        <v>348</v>
      </c>
      <c r="X72" t="s">
        <v>339</v>
      </c>
      <c r="Y72">
        <v>4</v>
      </c>
      <c r="Z72" t="s">
        <v>42</v>
      </c>
      <c r="AA72" t="s">
        <v>349</v>
      </c>
      <c r="AB72" t="s">
        <v>44</v>
      </c>
    </row>
    <row r="73" spans="1:28" ht="20" customHeight="1">
      <c r="A73" t="s">
        <v>334</v>
      </c>
      <c r="B73" t="s">
        <v>335</v>
      </c>
      <c r="C73" t="s">
        <v>350</v>
      </c>
      <c r="D73" s="7">
        <v>46266.61111111111</v>
      </c>
      <c r="E73" t="s">
        <v>47</v>
      </c>
      <c r="F73" t="s">
        <v>34</v>
      </c>
      <c r="G73" t="s">
        <v>342</v>
      </c>
      <c r="H73" t="s">
        <v>175</v>
      </c>
      <c r="I73" t="s">
        <v>48</v>
      </c>
      <c r="J73" t="s">
        <v>49</v>
      </c>
      <c r="K73" s="8">
        <v>4114.73</v>
      </c>
      <c r="L73" s="8">
        <v>4114.73</v>
      </c>
      <c r="M73" s="8">
        <v>4608.5</v>
      </c>
      <c r="N73">
        <v>1</v>
      </c>
      <c r="O73">
        <v>0</v>
      </c>
      <c r="P73" s="8">
        <v>0</v>
      </c>
      <c r="Q73" s="8">
        <v>0</v>
      </c>
      <c r="R73" s="8">
        <v>0</v>
      </c>
      <c r="S73">
        <v>2</v>
      </c>
      <c r="T73">
        <v>2</v>
      </c>
      <c r="U73" t="s">
        <v>75</v>
      </c>
      <c r="V73" t="s">
        <v>351</v>
      </c>
      <c r="W73" t="s">
        <v>352</v>
      </c>
      <c r="X73" t="s">
        <v>339</v>
      </c>
      <c r="Y73">
        <v>5</v>
      </c>
      <c r="Z73" t="s">
        <v>42</v>
      </c>
      <c r="AA73" t="s">
        <v>353</v>
      </c>
      <c r="AB73" t="s">
        <v>44</v>
      </c>
    </row>
    <row r="74" spans="1:28" ht="20" customHeight="1">
      <c r="A74" t="s">
        <v>334</v>
      </c>
      <c r="B74" t="s">
        <v>335</v>
      </c>
      <c r="C74" t="s">
        <v>354</v>
      </c>
      <c r="D74" s="7">
        <v>46266.71666666667</v>
      </c>
      <c r="E74" t="s">
        <v>47</v>
      </c>
      <c r="F74" t="s">
        <v>34</v>
      </c>
      <c r="G74" t="s">
        <v>342</v>
      </c>
      <c r="H74" t="s">
        <v>175</v>
      </c>
      <c r="I74" t="s">
        <v>48</v>
      </c>
      <c r="J74" t="s">
        <v>49</v>
      </c>
      <c r="K74" s="8">
        <v>8333.209999999999</v>
      </c>
      <c r="L74" s="8">
        <v>8333.209999999999</v>
      </c>
      <c r="M74" s="8">
        <v>9333.200000000001</v>
      </c>
      <c r="N74">
        <v>1</v>
      </c>
      <c r="O74">
        <v>0</v>
      </c>
      <c r="P74" s="8">
        <v>0</v>
      </c>
      <c r="Q74" s="8">
        <v>0</v>
      </c>
      <c r="R74" s="8">
        <v>0</v>
      </c>
      <c r="S74">
        <v>2</v>
      </c>
      <c r="T74">
        <v>4</v>
      </c>
      <c r="U74" t="s">
        <v>75</v>
      </c>
      <c r="V74" t="s">
        <v>355</v>
      </c>
      <c r="W74" t="s">
        <v>356</v>
      </c>
      <c r="X74" t="s">
        <v>339</v>
      </c>
      <c r="Y74">
        <v>6</v>
      </c>
      <c r="Z74" t="s">
        <v>42</v>
      </c>
      <c r="AA74" t="s">
        <v>357</v>
      </c>
      <c r="AB74" t="s">
        <v>44</v>
      </c>
    </row>
    <row r="75" spans="1:28" ht="20" customHeight="1">
      <c r="A75" t="s">
        <v>334</v>
      </c>
      <c r="B75" t="s">
        <v>340</v>
      </c>
      <c r="C75" t="s">
        <v>358</v>
      </c>
      <c r="D75" s="7">
        <v>46277.0125</v>
      </c>
      <c r="E75" t="s">
        <v>56</v>
      </c>
      <c r="F75" t="s">
        <v>34</v>
      </c>
      <c r="G75" t="s">
        <v>35</v>
      </c>
      <c r="I75" t="s">
        <v>36</v>
      </c>
      <c r="J75" t="s">
        <v>37</v>
      </c>
      <c r="K75" s="8">
        <v>12357.14</v>
      </c>
      <c r="L75" s="8">
        <v>0</v>
      </c>
      <c r="M75" s="8">
        <v>13840</v>
      </c>
      <c r="N75">
        <v>0</v>
      </c>
      <c r="O75">
        <v>0</v>
      </c>
      <c r="P75" s="8">
        <v>12357.14</v>
      </c>
      <c r="Q75" s="8">
        <v>0</v>
      </c>
      <c r="R75" s="8">
        <v>0</v>
      </c>
      <c r="S75">
        <v>2</v>
      </c>
      <c r="T75">
        <v>4</v>
      </c>
      <c r="U75" t="s">
        <v>359</v>
      </c>
      <c r="V75" t="s">
        <v>360</v>
      </c>
      <c r="W75" t="s">
        <v>361</v>
      </c>
      <c r="X75" t="s">
        <v>339</v>
      </c>
      <c r="Y75">
        <v>7</v>
      </c>
      <c r="Z75" t="s">
        <v>42</v>
      </c>
      <c r="AA75" t="s">
        <v>362</v>
      </c>
      <c r="AB75" t="s">
        <v>44</v>
      </c>
    </row>
    <row r="76" spans="1:28" ht="20" customHeight="1">
      <c r="A76" t="s">
        <v>334</v>
      </c>
      <c r="B76" t="s">
        <v>340</v>
      </c>
      <c r="C76" t="s">
        <v>363</v>
      </c>
      <c r="D76" s="7">
        <v>46277.04583333333</v>
      </c>
      <c r="E76" t="s">
        <v>56</v>
      </c>
      <c r="F76" t="s">
        <v>34</v>
      </c>
      <c r="G76" t="s">
        <v>35</v>
      </c>
      <c r="I76" t="s">
        <v>48</v>
      </c>
      <c r="J76" t="s">
        <v>49</v>
      </c>
      <c r="K76" s="8">
        <v>22825</v>
      </c>
      <c r="L76" s="8">
        <v>22825</v>
      </c>
      <c r="M76" s="8">
        <v>25564</v>
      </c>
      <c r="N76">
        <v>1</v>
      </c>
      <c r="O76">
        <v>0</v>
      </c>
      <c r="P76" s="8">
        <v>0</v>
      </c>
      <c r="Q76" s="8">
        <v>0</v>
      </c>
      <c r="R76" s="8">
        <v>0</v>
      </c>
      <c r="S76">
        <v>2</v>
      </c>
      <c r="T76">
        <v>4</v>
      </c>
      <c r="U76" t="s">
        <v>38</v>
      </c>
      <c r="V76" t="s">
        <v>364</v>
      </c>
      <c r="W76" t="s">
        <v>365</v>
      </c>
      <c r="X76" t="s">
        <v>339</v>
      </c>
      <c r="Y76">
        <v>8</v>
      </c>
      <c r="Z76" t="s">
        <v>42</v>
      </c>
      <c r="AA76" t="s">
        <v>366</v>
      </c>
      <c r="AB76" t="s">
        <v>44</v>
      </c>
    </row>
    <row r="77" spans="1:28" ht="20" customHeight="1">
      <c r="A77" t="s">
        <v>334</v>
      </c>
      <c r="B77" t="s">
        <v>335</v>
      </c>
      <c r="C77" t="s">
        <v>367</v>
      </c>
      <c r="D77" s="7">
        <v>46277.34652777778</v>
      </c>
      <c r="E77" t="s">
        <v>56</v>
      </c>
      <c r="F77" t="s">
        <v>34</v>
      </c>
      <c r="G77" t="s">
        <v>35</v>
      </c>
      <c r="I77" t="s">
        <v>36</v>
      </c>
      <c r="J77" t="s">
        <v>37</v>
      </c>
      <c r="K77" s="8">
        <v>12055.71</v>
      </c>
      <c r="L77" s="8">
        <v>0</v>
      </c>
      <c r="M77" s="8">
        <v>13502.4</v>
      </c>
      <c r="N77">
        <v>0</v>
      </c>
      <c r="O77">
        <v>0</v>
      </c>
      <c r="P77" s="8">
        <v>12055.71</v>
      </c>
      <c r="Q77" s="8">
        <v>0</v>
      </c>
      <c r="R77" s="8">
        <v>0</v>
      </c>
      <c r="S77">
        <v>2</v>
      </c>
      <c r="T77">
        <v>4</v>
      </c>
      <c r="U77" t="s">
        <v>101</v>
      </c>
      <c r="V77" t="s">
        <v>368</v>
      </c>
      <c r="W77" t="s">
        <v>369</v>
      </c>
      <c r="X77" t="s">
        <v>339</v>
      </c>
      <c r="Y77">
        <v>9</v>
      </c>
      <c r="Z77" t="s">
        <v>42</v>
      </c>
      <c r="AA77" t="s">
        <v>370</v>
      </c>
      <c r="AB77" t="s">
        <v>44</v>
      </c>
    </row>
    <row r="78" spans="1:28" ht="20" customHeight="1">
      <c r="A78" t="s">
        <v>334</v>
      </c>
      <c r="B78" t="s">
        <v>335</v>
      </c>
      <c r="C78" t="s">
        <v>371</v>
      </c>
      <c r="D78" s="7">
        <v>46277.35833333333</v>
      </c>
      <c r="E78" t="s">
        <v>56</v>
      </c>
      <c r="F78" t="s">
        <v>34</v>
      </c>
      <c r="G78" t="s">
        <v>35</v>
      </c>
      <c r="H78" t="s">
        <v>35</v>
      </c>
      <c r="I78" t="s">
        <v>36</v>
      </c>
      <c r="J78" t="s">
        <v>37</v>
      </c>
      <c r="K78" s="8">
        <v>12055.71</v>
      </c>
      <c r="L78" s="8">
        <v>0</v>
      </c>
      <c r="M78" s="8">
        <v>13502.4</v>
      </c>
      <c r="N78">
        <v>0</v>
      </c>
      <c r="O78">
        <v>0</v>
      </c>
      <c r="P78" s="8">
        <v>12055.71</v>
      </c>
      <c r="Q78" s="8">
        <v>0</v>
      </c>
      <c r="R78" s="8">
        <v>0</v>
      </c>
      <c r="S78">
        <v>2</v>
      </c>
      <c r="T78">
        <v>4</v>
      </c>
      <c r="U78" t="s">
        <v>101</v>
      </c>
      <c r="V78" t="s">
        <v>368</v>
      </c>
      <c r="W78" t="s">
        <v>372</v>
      </c>
      <c r="X78" t="s">
        <v>339</v>
      </c>
      <c r="Y78">
        <v>10</v>
      </c>
      <c r="Z78" t="s">
        <v>42</v>
      </c>
      <c r="AA78" t="s">
        <v>373</v>
      </c>
      <c r="AB78" t="s">
        <v>44</v>
      </c>
    </row>
    <row r="79" spans="1:28" ht="20" customHeight="1">
      <c r="A79" t="s">
        <v>334</v>
      </c>
      <c r="B79" t="s">
        <v>340</v>
      </c>
      <c r="C79" t="s">
        <v>374</v>
      </c>
      <c r="D79" s="7">
        <v>46277.39722222222</v>
      </c>
      <c r="E79" t="s">
        <v>56</v>
      </c>
      <c r="F79" t="s">
        <v>34</v>
      </c>
      <c r="G79" t="s">
        <v>35</v>
      </c>
      <c r="I79" t="s">
        <v>48</v>
      </c>
      <c r="J79" t="s">
        <v>49</v>
      </c>
      <c r="K79" s="8">
        <v>19022.86</v>
      </c>
      <c r="L79" s="8">
        <v>19022.86</v>
      </c>
      <c r="M79" s="8">
        <v>21305.6</v>
      </c>
      <c r="N79">
        <v>1</v>
      </c>
      <c r="O79">
        <v>0</v>
      </c>
      <c r="P79" s="8">
        <v>0</v>
      </c>
      <c r="Q79" s="8">
        <v>0</v>
      </c>
      <c r="R79" s="8">
        <v>0</v>
      </c>
      <c r="S79">
        <v>2</v>
      </c>
      <c r="T79">
        <v>4</v>
      </c>
      <c r="U79" t="s">
        <v>375</v>
      </c>
      <c r="V79" t="s">
        <v>376</v>
      </c>
      <c r="W79" t="s">
        <v>377</v>
      </c>
      <c r="X79" t="s">
        <v>339</v>
      </c>
      <c r="Y79">
        <v>11</v>
      </c>
      <c r="Z79" t="s">
        <v>42</v>
      </c>
      <c r="AA79" t="s">
        <v>378</v>
      </c>
      <c r="AB79" t="s">
        <v>44</v>
      </c>
    </row>
    <row r="80" spans="1:28" ht="20" customHeight="1">
      <c r="A80" t="s">
        <v>334</v>
      </c>
      <c r="B80" t="s">
        <v>340</v>
      </c>
      <c r="C80" t="s">
        <v>379</v>
      </c>
      <c r="D80" s="7">
        <v>46277.49652777778</v>
      </c>
      <c r="E80" t="s">
        <v>56</v>
      </c>
      <c r="F80" t="s">
        <v>34</v>
      </c>
      <c r="G80" t="s">
        <v>35</v>
      </c>
      <c r="H80" t="s">
        <v>35</v>
      </c>
      <c r="I80" t="s">
        <v>48</v>
      </c>
      <c r="J80" t="s">
        <v>49</v>
      </c>
      <c r="K80" s="8">
        <v>13348.21</v>
      </c>
      <c r="L80" s="8">
        <v>13348.21</v>
      </c>
      <c r="M80" s="8">
        <v>14950</v>
      </c>
      <c r="N80">
        <v>1</v>
      </c>
      <c r="O80">
        <v>0</v>
      </c>
      <c r="P80" s="8">
        <v>0</v>
      </c>
      <c r="Q80" s="8">
        <v>0</v>
      </c>
      <c r="R80" s="8">
        <v>0</v>
      </c>
      <c r="S80">
        <v>2</v>
      </c>
      <c r="T80">
        <v>4</v>
      </c>
      <c r="U80" t="s">
        <v>80</v>
      </c>
      <c r="V80" t="s">
        <v>114</v>
      </c>
      <c r="W80" t="s">
        <v>380</v>
      </c>
      <c r="X80" t="s">
        <v>339</v>
      </c>
      <c r="Y80">
        <v>12</v>
      </c>
      <c r="Z80" t="s">
        <v>42</v>
      </c>
      <c r="AA80" t="s">
        <v>381</v>
      </c>
      <c r="AB80" t="s">
        <v>44</v>
      </c>
    </row>
    <row r="81" spans="1:28" ht="20" customHeight="1">
      <c r="A81" t="s">
        <v>334</v>
      </c>
      <c r="B81" t="s">
        <v>340</v>
      </c>
      <c r="C81" t="s">
        <v>382</v>
      </c>
      <c r="D81" s="7">
        <v>46277.69236111111</v>
      </c>
      <c r="E81" t="s">
        <v>56</v>
      </c>
      <c r="F81" t="s">
        <v>34</v>
      </c>
      <c r="G81" t="s">
        <v>35</v>
      </c>
      <c r="H81" t="s">
        <v>35</v>
      </c>
      <c r="I81" t="s">
        <v>36</v>
      </c>
      <c r="J81" t="s">
        <v>37</v>
      </c>
      <c r="K81" s="8">
        <v>12357.14</v>
      </c>
      <c r="L81" s="8">
        <v>0</v>
      </c>
      <c r="M81" s="8">
        <v>13840</v>
      </c>
      <c r="N81">
        <v>0</v>
      </c>
      <c r="O81">
        <v>0</v>
      </c>
      <c r="P81" s="8">
        <v>12357.14</v>
      </c>
      <c r="Q81" s="8">
        <v>0</v>
      </c>
      <c r="R81" s="8">
        <v>0</v>
      </c>
      <c r="S81">
        <v>2</v>
      </c>
      <c r="T81">
        <v>4</v>
      </c>
      <c r="U81" t="s">
        <v>359</v>
      </c>
      <c r="V81" t="s">
        <v>360</v>
      </c>
      <c r="W81" t="s">
        <v>383</v>
      </c>
      <c r="X81" t="s">
        <v>339</v>
      </c>
      <c r="Y81">
        <v>13</v>
      </c>
      <c r="Z81" t="s">
        <v>42</v>
      </c>
      <c r="AA81" t="s">
        <v>241</v>
      </c>
      <c r="AB81" t="s">
        <v>44</v>
      </c>
    </row>
    <row r="82" spans="1:28" ht="20" customHeight="1">
      <c r="A82" t="s">
        <v>334</v>
      </c>
      <c r="B82" t="s">
        <v>335</v>
      </c>
      <c r="C82" t="s">
        <v>384</v>
      </c>
      <c r="D82" s="7">
        <v>46277.70277777778</v>
      </c>
      <c r="E82" t="s">
        <v>56</v>
      </c>
      <c r="F82" t="s">
        <v>34</v>
      </c>
      <c r="G82" t="s">
        <v>35</v>
      </c>
      <c r="I82" t="s">
        <v>48</v>
      </c>
      <c r="J82" t="s">
        <v>49</v>
      </c>
      <c r="K82" s="8">
        <v>20857.14</v>
      </c>
      <c r="L82" s="8">
        <v>20857.14</v>
      </c>
      <c r="M82" s="8">
        <v>23360</v>
      </c>
      <c r="N82">
        <v>1</v>
      </c>
      <c r="O82">
        <v>0</v>
      </c>
      <c r="P82" s="8">
        <v>0</v>
      </c>
      <c r="Q82" s="8">
        <v>0</v>
      </c>
      <c r="R82" s="8">
        <v>0</v>
      </c>
      <c r="S82">
        <v>2</v>
      </c>
      <c r="T82">
        <v>5</v>
      </c>
      <c r="U82" t="s">
        <v>359</v>
      </c>
      <c r="V82" t="s">
        <v>385</v>
      </c>
      <c r="W82" t="s">
        <v>386</v>
      </c>
      <c r="X82" t="s">
        <v>339</v>
      </c>
      <c r="Y82">
        <v>14</v>
      </c>
      <c r="Z82" t="s">
        <v>42</v>
      </c>
      <c r="AA82" t="s">
        <v>387</v>
      </c>
      <c r="AB82" t="s">
        <v>44</v>
      </c>
    </row>
    <row r="83" spans="1:28" ht="20" customHeight="1">
      <c r="A83" t="s">
        <v>334</v>
      </c>
      <c r="B83" t="s">
        <v>335</v>
      </c>
      <c r="C83" t="s">
        <v>388</v>
      </c>
      <c r="D83" s="7">
        <v>46277.75</v>
      </c>
      <c r="E83" t="s">
        <v>56</v>
      </c>
      <c r="F83" t="s">
        <v>34</v>
      </c>
      <c r="G83" t="s">
        <v>35</v>
      </c>
      <c r="H83" t="s">
        <v>35</v>
      </c>
      <c r="I83" t="s">
        <v>48</v>
      </c>
      <c r="J83" t="s">
        <v>49</v>
      </c>
      <c r="K83" s="8">
        <v>12384.11</v>
      </c>
      <c r="L83" s="8">
        <v>12384.11</v>
      </c>
      <c r="M83" s="8">
        <v>13870.2</v>
      </c>
      <c r="N83">
        <v>1</v>
      </c>
      <c r="O83">
        <v>0</v>
      </c>
      <c r="P83" s="8">
        <v>0</v>
      </c>
      <c r="Q83" s="8">
        <v>0</v>
      </c>
      <c r="R83" s="8">
        <v>0</v>
      </c>
      <c r="S83">
        <v>2</v>
      </c>
      <c r="T83">
        <v>4</v>
      </c>
      <c r="U83" t="s">
        <v>75</v>
      </c>
      <c r="V83" t="s">
        <v>389</v>
      </c>
      <c r="W83" t="s">
        <v>390</v>
      </c>
      <c r="X83" t="s">
        <v>339</v>
      </c>
      <c r="Y83">
        <v>15</v>
      </c>
      <c r="Z83" t="s">
        <v>42</v>
      </c>
      <c r="AA83" t="s">
        <v>391</v>
      </c>
      <c r="AB83" t="s">
        <v>44</v>
      </c>
    </row>
    <row r="84" spans="1:28" ht="20" customHeight="1">
      <c r="A84" t="s">
        <v>334</v>
      </c>
      <c r="B84" t="s">
        <v>340</v>
      </c>
      <c r="C84" t="s">
        <v>392</v>
      </c>
      <c r="D84" s="7">
        <v>46277.87083333333</v>
      </c>
      <c r="E84" t="s">
        <v>56</v>
      </c>
      <c r="F84" t="s">
        <v>34</v>
      </c>
      <c r="G84" t="s">
        <v>35</v>
      </c>
      <c r="I84" t="s">
        <v>142</v>
      </c>
      <c r="J84" t="s">
        <v>69</v>
      </c>
      <c r="K84" s="8">
        <v>31301.07</v>
      </c>
      <c r="L84" s="8">
        <v>0</v>
      </c>
      <c r="M84" s="8">
        <v>35057.2</v>
      </c>
      <c r="N84">
        <v>0</v>
      </c>
      <c r="O84">
        <v>0</v>
      </c>
      <c r="P84" s="8">
        <v>0</v>
      </c>
      <c r="Q84" s="8">
        <v>0</v>
      </c>
      <c r="R84" s="8">
        <v>31301.07</v>
      </c>
      <c r="S84">
        <v>2</v>
      </c>
      <c r="T84">
        <v>4</v>
      </c>
      <c r="U84" t="s">
        <v>101</v>
      </c>
      <c r="V84" t="s">
        <v>393</v>
      </c>
      <c r="W84" t="s">
        <v>394</v>
      </c>
      <c r="X84" t="s">
        <v>339</v>
      </c>
      <c r="Y84">
        <v>16</v>
      </c>
      <c r="Z84" t="s">
        <v>42</v>
      </c>
      <c r="AA84" t="s">
        <v>395</v>
      </c>
      <c r="AB84" t="s">
        <v>44</v>
      </c>
    </row>
    <row r="85" spans="1:28" ht="20" customHeight="1">
      <c r="A85" t="s">
        <v>334</v>
      </c>
      <c r="B85" t="s">
        <v>335</v>
      </c>
      <c r="C85" t="s">
        <v>396</v>
      </c>
      <c r="D85" s="7">
        <v>46278.32916666667</v>
      </c>
      <c r="E85" t="s">
        <v>56</v>
      </c>
      <c r="F85" t="s">
        <v>34</v>
      </c>
      <c r="G85" t="s">
        <v>35</v>
      </c>
      <c r="H85" t="s">
        <v>35</v>
      </c>
      <c r="I85" t="s">
        <v>48</v>
      </c>
      <c r="J85" t="s">
        <v>49</v>
      </c>
      <c r="K85" s="8">
        <v>53638.39</v>
      </c>
      <c r="L85" s="8">
        <v>53638.39</v>
      </c>
      <c r="M85" s="8">
        <v>60075</v>
      </c>
      <c r="N85">
        <v>1</v>
      </c>
      <c r="O85">
        <v>0</v>
      </c>
      <c r="P85" s="8">
        <v>0</v>
      </c>
      <c r="Q85" s="8">
        <v>0</v>
      </c>
      <c r="R85" s="8">
        <v>0</v>
      </c>
      <c r="S85">
        <v>2</v>
      </c>
      <c r="T85">
        <v>4</v>
      </c>
      <c r="U85" t="s">
        <v>50</v>
      </c>
      <c r="V85" t="s">
        <v>397</v>
      </c>
      <c r="W85" t="s">
        <v>398</v>
      </c>
      <c r="X85" t="s">
        <v>339</v>
      </c>
      <c r="Y85">
        <v>17</v>
      </c>
      <c r="Z85" t="s">
        <v>42</v>
      </c>
      <c r="AA85" t="s">
        <v>399</v>
      </c>
      <c r="AB85" t="s">
        <v>44</v>
      </c>
    </row>
    <row r="86" spans="1:28" ht="20" customHeight="1">
      <c r="A86" t="s">
        <v>334</v>
      </c>
      <c r="B86" t="s">
        <v>335</v>
      </c>
      <c r="C86" t="s">
        <v>400</v>
      </c>
      <c r="D86" s="7">
        <v>46278.61111111111</v>
      </c>
      <c r="E86" t="s">
        <v>56</v>
      </c>
      <c r="F86" t="s">
        <v>34</v>
      </c>
      <c r="G86" t="s">
        <v>35</v>
      </c>
      <c r="I86" t="s">
        <v>48</v>
      </c>
      <c r="J86" t="s">
        <v>49</v>
      </c>
      <c r="K86" s="8">
        <v>4372.77</v>
      </c>
      <c r="L86" s="8">
        <v>4372.77</v>
      </c>
      <c r="M86" s="8">
        <v>4897.5</v>
      </c>
      <c r="N86">
        <v>1</v>
      </c>
      <c r="O86">
        <v>0</v>
      </c>
      <c r="P86" s="8">
        <v>0</v>
      </c>
      <c r="Q86" s="8">
        <v>0</v>
      </c>
      <c r="R86" s="8">
        <v>0</v>
      </c>
      <c r="S86">
        <v>2</v>
      </c>
      <c r="T86">
        <v>2</v>
      </c>
      <c r="U86" t="s">
        <v>75</v>
      </c>
      <c r="V86" t="s">
        <v>401</v>
      </c>
      <c r="W86" t="s">
        <v>402</v>
      </c>
      <c r="X86" t="s">
        <v>339</v>
      </c>
      <c r="Y86">
        <v>18</v>
      </c>
      <c r="Z86" t="s">
        <v>42</v>
      </c>
      <c r="AA86" t="s">
        <v>403</v>
      </c>
      <c r="AB86" t="s">
        <v>44</v>
      </c>
    </row>
    <row r="87" spans="1:28" ht="20" customHeight="1">
      <c r="A87" t="s">
        <v>334</v>
      </c>
      <c r="B87" t="s">
        <v>335</v>
      </c>
      <c r="C87" t="s">
        <v>404</v>
      </c>
      <c r="D87" s="7">
        <v>46279.39791666667</v>
      </c>
      <c r="E87" t="s">
        <v>56</v>
      </c>
      <c r="F87" t="s">
        <v>34</v>
      </c>
      <c r="G87" t="s">
        <v>35</v>
      </c>
      <c r="I87" t="s">
        <v>36</v>
      </c>
      <c r="J87" t="s">
        <v>37</v>
      </c>
      <c r="K87" s="8">
        <v>4673.3</v>
      </c>
      <c r="L87" s="8">
        <v>0</v>
      </c>
      <c r="M87" s="8">
        <v>5234.1</v>
      </c>
      <c r="N87">
        <v>0</v>
      </c>
      <c r="O87">
        <v>0</v>
      </c>
      <c r="P87" s="8">
        <v>4673.3</v>
      </c>
      <c r="Q87" s="8">
        <v>0</v>
      </c>
      <c r="R87" s="8">
        <v>0</v>
      </c>
      <c r="S87">
        <v>2</v>
      </c>
      <c r="T87">
        <v>2</v>
      </c>
      <c r="U87" t="s">
        <v>57</v>
      </c>
      <c r="V87" t="s">
        <v>107</v>
      </c>
      <c r="W87" t="s">
        <v>405</v>
      </c>
      <c r="X87" t="s">
        <v>339</v>
      </c>
      <c r="Y87">
        <v>19</v>
      </c>
      <c r="Z87" t="s">
        <v>42</v>
      </c>
      <c r="AA87" t="s">
        <v>406</v>
      </c>
      <c r="AB87" t="s">
        <v>44</v>
      </c>
    </row>
    <row r="88" spans="1:28" ht="20" customHeight="1">
      <c r="A88" t="s">
        <v>334</v>
      </c>
      <c r="B88" t="s">
        <v>335</v>
      </c>
      <c r="C88" t="s">
        <v>407</v>
      </c>
      <c r="D88" s="7">
        <v>46279.41666666666</v>
      </c>
      <c r="E88" t="s">
        <v>56</v>
      </c>
      <c r="F88" t="s">
        <v>34</v>
      </c>
      <c r="G88" t="s">
        <v>35</v>
      </c>
      <c r="I88" t="s">
        <v>132</v>
      </c>
      <c r="J88" t="s">
        <v>68</v>
      </c>
      <c r="K88" s="8">
        <v>4851.88</v>
      </c>
      <c r="L88" s="8">
        <v>0</v>
      </c>
      <c r="M88" s="8">
        <v>5434.1</v>
      </c>
      <c r="N88">
        <v>0</v>
      </c>
      <c r="O88">
        <v>1</v>
      </c>
      <c r="P88" s="8">
        <v>0</v>
      </c>
      <c r="Q88" s="8">
        <v>4851.88</v>
      </c>
      <c r="R88" s="8">
        <v>0</v>
      </c>
      <c r="S88">
        <v>2</v>
      </c>
      <c r="T88">
        <v>2</v>
      </c>
      <c r="U88" t="s">
        <v>57</v>
      </c>
      <c r="V88" t="s">
        <v>107</v>
      </c>
      <c r="W88" t="s">
        <v>408</v>
      </c>
      <c r="X88" t="s">
        <v>339</v>
      </c>
      <c r="Y88">
        <v>20</v>
      </c>
      <c r="Z88" t="s">
        <v>42</v>
      </c>
      <c r="AA88" t="s">
        <v>409</v>
      </c>
      <c r="AB88" t="s">
        <v>44</v>
      </c>
    </row>
    <row r="89" spans="1:28" ht="20" customHeight="1">
      <c r="A89" t="s">
        <v>334</v>
      </c>
      <c r="B89" t="s">
        <v>335</v>
      </c>
      <c r="C89" t="s">
        <v>410</v>
      </c>
      <c r="D89" s="7">
        <v>46279.43541666667</v>
      </c>
      <c r="E89" t="s">
        <v>56</v>
      </c>
      <c r="F89" t="s">
        <v>34</v>
      </c>
      <c r="G89" t="s">
        <v>35</v>
      </c>
      <c r="H89" t="s">
        <v>35</v>
      </c>
      <c r="I89" t="s">
        <v>48</v>
      </c>
      <c r="J89" t="s">
        <v>49</v>
      </c>
      <c r="K89" s="8">
        <v>11102.32</v>
      </c>
      <c r="L89" s="8">
        <v>11102.32</v>
      </c>
      <c r="M89" s="8">
        <v>12434.6</v>
      </c>
      <c r="N89">
        <v>1</v>
      </c>
      <c r="O89">
        <v>0</v>
      </c>
      <c r="P89" s="8">
        <v>0</v>
      </c>
      <c r="Q89" s="8">
        <v>0</v>
      </c>
      <c r="R89" s="8">
        <v>0</v>
      </c>
      <c r="S89">
        <v>2</v>
      </c>
      <c r="T89">
        <v>4</v>
      </c>
      <c r="U89" t="s">
        <v>57</v>
      </c>
      <c r="V89" t="s">
        <v>411</v>
      </c>
      <c r="W89" t="s">
        <v>412</v>
      </c>
      <c r="X89" t="s">
        <v>339</v>
      </c>
      <c r="Y89">
        <v>21</v>
      </c>
      <c r="Z89" t="s">
        <v>42</v>
      </c>
      <c r="AA89" t="s">
        <v>387</v>
      </c>
      <c r="AB89" t="s">
        <v>44</v>
      </c>
    </row>
    <row r="90" spans="1:28" ht="20" customHeight="1">
      <c r="A90" t="s">
        <v>334</v>
      </c>
      <c r="B90" t="s">
        <v>340</v>
      </c>
      <c r="C90" t="s">
        <v>413</v>
      </c>
      <c r="D90" s="7">
        <v>46279.70069444444</v>
      </c>
      <c r="E90" t="s">
        <v>56</v>
      </c>
      <c r="F90" t="s">
        <v>34</v>
      </c>
      <c r="G90" t="s">
        <v>35</v>
      </c>
      <c r="H90" t="s">
        <v>35</v>
      </c>
      <c r="I90" t="s">
        <v>48</v>
      </c>
      <c r="J90" t="s">
        <v>49</v>
      </c>
      <c r="K90" s="8">
        <v>18901.79</v>
      </c>
      <c r="L90" s="8">
        <v>18901.79</v>
      </c>
      <c r="M90" s="8">
        <v>21170</v>
      </c>
      <c r="N90">
        <v>1</v>
      </c>
      <c r="O90">
        <v>0</v>
      </c>
      <c r="P90" s="8">
        <v>0</v>
      </c>
      <c r="Q90" s="8">
        <v>0</v>
      </c>
      <c r="R90" s="8">
        <v>0</v>
      </c>
      <c r="S90">
        <v>2</v>
      </c>
      <c r="T90">
        <v>4</v>
      </c>
      <c r="U90" t="s">
        <v>50</v>
      </c>
      <c r="V90" t="s">
        <v>414</v>
      </c>
      <c r="W90" t="s">
        <v>415</v>
      </c>
      <c r="X90" t="s">
        <v>339</v>
      </c>
      <c r="Y90">
        <v>22</v>
      </c>
      <c r="Z90" t="s">
        <v>42</v>
      </c>
      <c r="AA90" t="s">
        <v>416</v>
      </c>
      <c r="AB90" t="s">
        <v>44</v>
      </c>
    </row>
    <row r="91" spans="1:28" ht="20" customHeight="1">
      <c r="A91" t="s">
        <v>334</v>
      </c>
      <c r="B91" t="s">
        <v>335</v>
      </c>
      <c r="C91" t="s">
        <v>417</v>
      </c>
      <c r="D91" s="7">
        <v>46280.39305555556</v>
      </c>
      <c r="E91" t="s">
        <v>33</v>
      </c>
      <c r="F91" t="s">
        <v>34</v>
      </c>
      <c r="G91" t="s">
        <v>342</v>
      </c>
      <c r="H91" t="s">
        <v>175</v>
      </c>
      <c r="I91" t="s">
        <v>48</v>
      </c>
      <c r="J91" t="s">
        <v>49</v>
      </c>
      <c r="K91" s="8">
        <v>5424.11</v>
      </c>
      <c r="L91" s="8">
        <v>5424.11</v>
      </c>
      <c r="M91" s="8">
        <v>6075</v>
      </c>
      <c r="N91">
        <v>1</v>
      </c>
      <c r="O91">
        <v>0</v>
      </c>
      <c r="P91" s="8">
        <v>0</v>
      </c>
      <c r="Q91" s="8">
        <v>0</v>
      </c>
      <c r="R91" s="8">
        <v>0</v>
      </c>
      <c r="S91">
        <v>2</v>
      </c>
      <c r="T91">
        <v>1</v>
      </c>
      <c r="U91" t="s">
        <v>38</v>
      </c>
      <c r="V91" t="s">
        <v>418</v>
      </c>
      <c r="W91" t="s">
        <v>419</v>
      </c>
      <c r="X91" t="s">
        <v>339</v>
      </c>
      <c r="Y91">
        <v>23</v>
      </c>
      <c r="Z91" t="s">
        <v>42</v>
      </c>
      <c r="AA91" t="s">
        <v>420</v>
      </c>
      <c r="AB91" t="s">
        <v>44</v>
      </c>
    </row>
    <row r="92" spans="1:28" ht="20" customHeight="1">
      <c r="A92" t="s">
        <v>334</v>
      </c>
      <c r="B92" t="s">
        <v>335</v>
      </c>
      <c r="C92" t="s">
        <v>421</v>
      </c>
      <c r="D92" s="7">
        <v>46280.42361111111</v>
      </c>
      <c r="E92" t="s">
        <v>33</v>
      </c>
      <c r="F92" t="s">
        <v>34</v>
      </c>
      <c r="G92" t="s">
        <v>342</v>
      </c>
      <c r="H92" t="s">
        <v>175</v>
      </c>
      <c r="I92" t="s">
        <v>48</v>
      </c>
      <c r="J92" t="s">
        <v>49</v>
      </c>
      <c r="K92" s="8">
        <v>28476.43</v>
      </c>
      <c r="L92" s="8">
        <v>28476.43</v>
      </c>
      <c r="M92" s="8">
        <v>31893.6</v>
      </c>
      <c r="N92">
        <v>1</v>
      </c>
      <c r="O92">
        <v>0</v>
      </c>
      <c r="P92" s="8">
        <v>0</v>
      </c>
      <c r="Q92" s="8">
        <v>0</v>
      </c>
      <c r="R92" s="8">
        <v>0</v>
      </c>
      <c r="S92">
        <v>2</v>
      </c>
      <c r="T92">
        <v>4</v>
      </c>
      <c r="U92" t="s">
        <v>195</v>
      </c>
      <c r="V92" t="s">
        <v>422</v>
      </c>
      <c r="W92" t="s">
        <v>423</v>
      </c>
      <c r="X92" t="s">
        <v>339</v>
      </c>
      <c r="Y92">
        <v>24</v>
      </c>
      <c r="Z92" t="s">
        <v>42</v>
      </c>
      <c r="AA92" t="s">
        <v>424</v>
      </c>
      <c r="AB92" t="s">
        <v>44</v>
      </c>
    </row>
    <row r="93" spans="1:28" ht="20" customHeight="1">
      <c r="A93" t="s">
        <v>334</v>
      </c>
      <c r="B93" t="s">
        <v>335</v>
      </c>
      <c r="C93" t="s">
        <v>425</v>
      </c>
      <c r="D93" s="7">
        <v>46280.89791666667</v>
      </c>
      <c r="E93" t="s">
        <v>33</v>
      </c>
      <c r="F93" t="s">
        <v>34</v>
      </c>
      <c r="G93" t="s">
        <v>35</v>
      </c>
      <c r="H93" t="s">
        <v>35</v>
      </c>
      <c r="I93" t="s">
        <v>48</v>
      </c>
      <c r="J93" t="s">
        <v>49</v>
      </c>
      <c r="K93" s="8">
        <v>4673.3</v>
      </c>
      <c r="L93" s="8">
        <v>4673.3</v>
      </c>
      <c r="M93" s="8">
        <v>5234.1</v>
      </c>
      <c r="N93">
        <v>1</v>
      </c>
      <c r="O93">
        <v>0</v>
      </c>
      <c r="P93" s="8">
        <v>0</v>
      </c>
      <c r="Q93" s="8">
        <v>0</v>
      </c>
      <c r="R93" s="8">
        <v>0</v>
      </c>
      <c r="S93">
        <v>2</v>
      </c>
      <c r="T93">
        <v>2</v>
      </c>
      <c r="U93" t="s">
        <v>57</v>
      </c>
      <c r="V93" t="s">
        <v>107</v>
      </c>
      <c r="W93" t="s">
        <v>426</v>
      </c>
      <c r="X93" t="s">
        <v>339</v>
      </c>
      <c r="Y93">
        <v>25</v>
      </c>
      <c r="Z93" t="s">
        <v>42</v>
      </c>
      <c r="AA93" t="s">
        <v>427</v>
      </c>
      <c r="AB93" t="s">
        <v>44</v>
      </c>
    </row>
    <row r="94" spans="1:28" ht="20" customHeight="1">
      <c r="A94" t="s">
        <v>334</v>
      </c>
      <c r="B94" t="s">
        <v>335</v>
      </c>
      <c r="C94" t="s">
        <v>428</v>
      </c>
      <c r="D94" s="7">
        <v>46280.94375</v>
      </c>
      <c r="E94" t="s">
        <v>33</v>
      </c>
      <c r="F94" t="s">
        <v>34</v>
      </c>
      <c r="G94" t="s">
        <v>35</v>
      </c>
      <c r="I94" t="s">
        <v>48</v>
      </c>
      <c r="J94" t="s">
        <v>49</v>
      </c>
      <c r="K94" s="8">
        <v>14979.64</v>
      </c>
      <c r="L94" s="8">
        <v>14979.64</v>
      </c>
      <c r="M94" s="8">
        <v>16777.2</v>
      </c>
      <c r="N94">
        <v>1</v>
      </c>
      <c r="O94">
        <v>0</v>
      </c>
      <c r="P94" s="8">
        <v>0</v>
      </c>
      <c r="Q94" s="8">
        <v>0</v>
      </c>
      <c r="R94" s="8">
        <v>0</v>
      </c>
      <c r="S94">
        <v>2</v>
      </c>
      <c r="T94">
        <v>4</v>
      </c>
      <c r="U94" t="s">
        <v>127</v>
      </c>
      <c r="V94" t="s">
        <v>128</v>
      </c>
      <c r="W94" t="s">
        <v>429</v>
      </c>
      <c r="X94" t="s">
        <v>339</v>
      </c>
      <c r="Y94">
        <v>26</v>
      </c>
      <c r="Z94" t="s">
        <v>42</v>
      </c>
      <c r="AA94" t="s">
        <v>430</v>
      </c>
      <c r="AB94" t="s">
        <v>44</v>
      </c>
    </row>
    <row r="95" spans="1:28" ht="20" customHeight="1">
      <c r="A95" t="s">
        <v>334</v>
      </c>
      <c r="B95" t="s">
        <v>340</v>
      </c>
      <c r="C95" t="s">
        <v>431</v>
      </c>
      <c r="D95" s="7">
        <v>46281.07638888889</v>
      </c>
      <c r="E95" t="s">
        <v>33</v>
      </c>
      <c r="F95" t="s">
        <v>34</v>
      </c>
      <c r="G95" t="s">
        <v>35</v>
      </c>
      <c r="H95" t="s">
        <v>35</v>
      </c>
      <c r="I95" t="s">
        <v>432</v>
      </c>
      <c r="J95" t="s">
        <v>432</v>
      </c>
      <c r="K95" s="8">
        <v>13700.89</v>
      </c>
      <c r="L95" s="8">
        <v>0</v>
      </c>
      <c r="M95" s="8">
        <v>15345</v>
      </c>
      <c r="N95">
        <v>0</v>
      </c>
      <c r="O95">
        <v>0</v>
      </c>
      <c r="P95" s="8">
        <v>0</v>
      </c>
      <c r="Q95" s="8">
        <v>0</v>
      </c>
      <c r="R95" s="8">
        <v>13700.89</v>
      </c>
      <c r="S95">
        <v>2</v>
      </c>
      <c r="T95">
        <v>1</v>
      </c>
      <c r="U95" t="s">
        <v>127</v>
      </c>
      <c r="V95" t="s">
        <v>433</v>
      </c>
      <c r="W95" t="s">
        <v>434</v>
      </c>
      <c r="X95" t="s">
        <v>339</v>
      </c>
      <c r="Y95">
        <v>27</v>
      </c>
      <c r="Z95" t="s">
        <v>42</v>
      </c>
      <c r="AA95" t="s">
        <v>435</v>
      </c>
      <c r="AB95" t="s">
        <v>44</v>
      </c>
    </row>
    <row r="96" spans="1:28" ht="20" customHeight="1">
      <c r="A96" t="s">
        <v>334</v>
      </c>
      <c r="B96" t="s">
        <v>335</v>
      </c>
      <c r="C96" t="s">
        <v>436</v>
      </c>
      <c r="D96" s="7">
        <v>46281.47569444445</v>
      </c>
      <c r="E96" t="s">
        <v>33</v>
      </c>
      <c r="F96" t="s">
        <v>34</v>
      </c>
      <c r="G96" t="s">
        <v>35</v>
      </c>
      <c r="I96" t="s">
        <v>132</v>
      </c>
      <c r="J96" t="s">
        <v>68</v>
      </c>
      <c r="K96" s="8">
        <v>15181.61</v>
      </c>
      <c r="L96" s="8">
        <v>0</v>
      </c>
      <c r="M96" s="8">
        <v>17003.4</v>
      </c>
      <c r="N96">
        <v>0</v>
      </c>
      <c r="O96">
        <v>1</v>
      </c>
      <c r="P96" s="8">
        <v>0</v>
      </c>
      <c r="Q96" s="8">
        <v>15181.61</v>
      </c>
      <c r="R96" s="8">
        <v>0</v>
      </c>
      <c r="S96">
        <v>2</v>
      </c>
      <c r="T96">
        <v>4</v>
      </c>
      <c r="U96" t="s">
        <v>80</v>
      </c>
      <c r="V96" t="s">
        <v>437</v>
      </c>
      <c r="W96" t="s">
        <v>438</v>
      </c>
      <c r="X96" t="s">
        <v>339</v>
      </c>
      <c r="Y96">
        <v>28</v>
      </c>
      <c r="Z96" t="s">
        <v>42</v>
      </c>
      <c r="AA96" t="s">
        <v>264</v>
      </c>
      <c r="AB96" t="s">
        <v>44</v>
      </c>
    </row>
    <row r="97" spans="1:28" ht="20" customHeight="1">
      <c r="A97" t="s">
        <v>334</v>
      </c>
      <c r="B97" t="s">
        <v>340</v>
      </c>
      <c r="C97" t="s">
        <v>439</v>
      </c>
      <c r="D97" s="7">
        <v>46281.51736111111</v>
      </c>
      <c r="E97" t="s">
        <v>33</v>
      </c>
      <c r="F97" t="s">
        <v>34</v>
      </c>
      <c r="G97" t="s">
        <v>35</v>
      </c>
      <c r="I97" t="s">
        <v>48</v>
      </c>
      <c r="J97" t="s">
        <v>49</v>
      </c>
      <c r="K97" s="8">
        <v>29078.57</v>
      </c>
      <c r="L97" s="8">
        <v>29078.57</v>
      </c>
      <c r="M97" s="8">
        <v>32568</v>
      </c>
      <c r="N97">
        <v>1</v>
      </c>
      <c r="O97">
        <v>0</v>
      </c>
      <c r="P97" s="8">
        <v>0</v>
      </c>
      <c r="Q97" s="8">
        <v>0</v>
      </c>
      <c r="R97" s="8">
        <v>0</v>
      </c>
      <c r="S97">
        <v>2</v>
      </c>
      <c r="T97">
        <v>4</v>
      </c>
      <c r="U97" t="s">
        <v>101</v>
      </c>
      <c r="V97" t="s">
        <v>440</v>
      </c>
      <c r="W97" t="s">
        <v>441</v>
      </c>
      <c r="X97" t="s">
        <v>339</v>
      </c>
      <c r="Y97">
        <v>29</v>
      </c>
      <c r="Z97" t="s">
        <v>42</v>
      </c>
      <c r="AA97" t="s">
        <v>442</v>
      </c>
      <c r="AB97" t="s">
        <v>44</v>
      </c>
    </row>
    <row r="98" spans="1:28" ht="20" customHeight="1">
      <c r="A98" t="s">
        <v>334</v>
      </c>
      <c r="B98" t="s">
        <v>335</v>
      </c>
      <c r="C98" t="s">
        <v>443</v>
      </c>
      <c r="D98" s="7">
        <v>46281.62708333333</v>
      </c>
      <c r="E98" t="s">
        <v>33</v>
      </c>
      <c r="F98" t="s">
        <v>34</v>
      </c>
      <c r="G98" t="s">
        <v>35</v>
      </c>
      <c r="H98" t="s">
        <v>35</v>
      </c>
      <c r="I98" t="s">
        <v>36</v>
      </c>
      <c r="J98" t="s">
        <v>37</v>
      </c>
      <c r="K98" s="8">
        <v>18994.46</v>
      </c>
      <c r="L98" s="8">
        <v>0</v>
      </c>
      <c r="M98" s="8">
        <v>21273.8</v>
      </c>
      <c r="N98">
        <v>0</v>
      </c>
      <c r="O98">
        <v>0</v>
      </c>
      <c r="P98" s="8">
        <v>18994.46</v>
      </c>
      <c r="Q98" s="8">
        <v>0</v>
      </c>
      <c r="R98" s="8">
        <v>0</v>
      </c>
      <c r="S98">
        <v>2</v>
      </c>
      <c r="T98">
        <v>4</v>
      </c>
      <c r="U98" t="s">
        <v>80</v>
      </c>
      <c r="V98" t="s">
        <v>118</v>
      </c>
      <c r="W98" t="s">
        <v>444</v>
      </c>
      <c r="X98" t="s">
        <v>339</v>
      </c>
      <c r="Y98">
        <v>30</v>
      </c>
      <c r="Z98" t="s">
        <v>42</v>
      </c>
      <c r="AA98" t="s">
        <v>445</v>
      </c>
      <c r="AB98" t="s">
        <v>44</v>
      </c>
    </row>
    <row r="99" spans="1:28" ht="20" customHeight="1">
      <c r="A99" t="s">
        <v>334</v>
      </c>
      <c r="B99" t="s">
        <v>335</v>
      </c>
      <c r="C99" t="s">
        <v>446</v>
      </c>
      <c r="D99" s="7">
        <v>46281.82777777778</v>
      </c>
      <c r="E99" t="s">
        <v>33</v>
      </c>
      <c r="F99" t="s">
        <v>34</v>
      </c>
      <c r="G99" t="s">
        <v>35</v>
      </c>
      <c r="H99" t="s">
        <v>35</v>
      </c>
      <c r="I99" t="s">
        <v>36</v>
      </c>
      <c r="J99" t="s">
        <v>37</v>
      </c>
      <c r="K99" s="8">
        <v>15083.75</v>
      </c>
      <c r="L99" s="8">
        <v>0</v>
      </c>
      <c r="M99" s="8">
        <v>16893.8</v>
      </c>
      <c r="N99">
        <v>0</v>
      </c>
      <c r="O99">
        <v>0</v>
      </c>
      <c r="P99" s="8">
        <v>15083.75</v>
      </c>
      <c r="Q99" s="8">
        <v>0</v>
      </c>
      <c r="R99" s="8">
        <v>0</v>
      </c>
      <c r="S99">
        <v>2</v>
      </c>
      <c r="T99">
        <v>4</v>
      </c>
      <c r="U99" t="s">
        <v>80</v>
      </c>
      <c r="V99" t="s">
        <v>81</v>
      </c>
      <c r="W99" t="s">
        <v>447</v>
      </c>
      <c r="X99" t="s">
        <v>339</v>
      </c>
      <c r="Y99">
        <v>31</v>
      </c>
      <c r="Z99" t="s">
        <v>42</v>
      </c>
      <c r="AA99" t="s">
        <v>448</v>
      </c>
      <c r="AB99" t="s">
        <v>44</v>
      </c>
    </row>
    <row r="100" spans="1:28" ht="20" customHeight="1">
      <c r="A100" t="s">
        <v>334</v>
      </c>
      <c r="B100" t="s">
        <v>335</v>
      </c>
      <c r="C100" t="s">
        <v>449</v>
      </c>
      <c r="D100" s="7">
        <v>46281.94513888889</v>
      </c>
      <c r="E100" t="s">
        <v>33</v>
      </c>
      <c r="F100" t="s">
        <v>34</v>
      </c>
      <c r="G100" t="s">
        <v>35</v>
      </c>
      <c r="H100" t="s">
        <v>35</v>
      </c>
      <c r="I100" t="s">
        <v>48</v>
      </c>
      <c r="J100" t="s">
        <v>49</v>
      </c>
      <c r="K100" s="8">
        <v>22553.75</v>
      </c>
      <c r="L100" s="8">
        <v>22553.75</v>
      </c>
      <c r="M100" s="8">
        <v>25260.2</v>
      </c>
      <c r="N100">
        <v>1</v>
      </c>
      <c r="O100">
        <v>0</v>
      </c>
      <c r="P100" s="8">
        <v>0</v>
      </c>
      <c r="Q100" s="8">
        <v>0</v>
      </c>
      <c r="R100" s="8">
        <v>0</v>
      </c>
      <c r="S100">
        <v>2</v>
      </c>
      <c r="T100">
        <v>4</v>
      </c>
      <c r="U100" t="s">
        <v>57</v>
      </c>
      <c r="V100" t="s">
        <v>273</v>
      </c>
      <c r="W100" t="s">
        <v>450</v>
      </c>
      <c r="X100" t="s">
        <v>339</v>
      </c>
      <c r="Y100">
        <v>32</v>
      </c>
      <c r="Z100" t="s">
        <v>42</v>
      </c>
      <c r="AA100" t="s">
        <v>451</v>
      </c>
      <c r="AB100" t="s">
        <v>44</v>
      </c>
    </row>
    <row r="101" spans="1:28" ht="20" customHeight="1">
      <c r="A101" t="s">
        <v>334</v>
      </c>
      <c r="B101" t="s">
        <v>340</v>
      </c>
      <c r="C101" t="s">
        <v>452</v>
      </c>
      <c r="D101" s="7">
        <v>46282.44027777778</v>
      </c>
      <c r="E101" t="s">
        <v>33</v>
      </c>
      <c r="F101" t="s">
        <v>34</v>
      </c>
      <c r="G101" t="s">
        <v>35</v>
      </c>
      <c r="H101" t="s">
        <v>35</v>
      </c>
      <c r="I101" t="s">
        <v>48</v>
      </c>
      <c r="J101" t="s">
        <v>49</v>
      </c>
      <c r="K101" s="8">
        <v>7460.18</v>
      </c>
      <c r="L101" s="8">
        <v>7460.18</v>
      </c>
      <c r="M101" s="8">
        <v>8355.4</v>
      </c>
      <c r="N101">
        <v>1</v>
      </c>
      <c r="O101">
        <v>0</v>
      </c>
      <c r="P101" s="8">
        <v>0</v>
      </c>
      <c r="Q101" s="8">
        <v>0</v>
      </c>
      <c r="R101" s="8">
        <v>0</v>
      </c>
      <c r="S101">
        <v>2</v>
      </c>
      <c r="T101">
        <v>4</v>
      </c>
      <c r="U101" t="s">
        <v>57</v>
      </c>
      <c r="V101" t="s">
        <v>453</v>
      </c>
      <c r="W101" t="s">
        <v>454</v>
      </c>
      <c r="X101" t="s">
        <v>339</v>
      </c>
      <c r="Y101">
        <v>33</v>
      </c>
      <c r="Z101" t="s">
        <v>42</v>
      </c>
      <c r="AA101" t="s">
        <v>455</v>
      </c>
      <c r="AB101" t="s">
        <v>44</v>
      </c>
    </row>
    <row r="102" spans="1:28" ht="20" customHeight="1">
      <c r="A102" t="s">
        <v>334</v>
      </c>
      <c r="B102" t="s">
        <v>335</v>
      </c>
      <c r="C102" t="s">
        <v>456</v>
      </c>
      <c r="D102" s="7">
        <v>46282.44652777778</v>
      </c>
      <c r="E102" t="s">
        <v>33</v>
      </c>
      <c r="F102" t="s">
        <v>34</v>
      </c>
      <c r="G102" t="s">
        <v>35</v>
      </c>
      <c r="I102" t="s">
        <v>48</v>
      </c>
      <c r="J102" t="s">
        <v>69</v>
      </c>
      <c r="K102" s="8">
        <v>4797.95</v>
      </c>
      <c r="L102" s="8">
        <v>4797.95</v>
      </c>
      <c r="M102" s="8">
        <v>5373.7</v>
      </c>
      <c r="N102">
        <v>1</v>
      </c>
      <c r="O102">
        <v>0</v>
      </c>
      <c r="P102" s="8">
        <v>0</v>
      </c>
      <c r="Q102" s="8">
        <v>0</v>
      </c>
      <c r="R102" s="8">
        <v>0</v>
      </c>
      <c r="S102">
        <v>2</v>
      </c>
      <c r="T102">
        <v>2</v>
      </c>
      <c r="U102" t="s">
        <v>315</v>
      </c>
      <c r="V102" t="s">
        <v>457</v>
      </c>
      <c r="W102" t="s">
        <v>458</v>
      </c>
      <c r="X102" t="s">
        <v>339</v>
      </c>
      <c r="Y102">
        <v>34</v>
      </c>
      <c r="Z102" t="s">
        <v>42</v>
      </c>
      <c r="AA102" t="s">
        <v>459</v>
      </c>
      <c r="AB102" t="s">
        <v>44</v>
      </c>
    </row>
    <row r="103" spans="1:28" ht="20" customHeight="1">
      <c r="A103" t="s">
        <v>334</v>
      </c>
      <c r="B103" t="s">
        <v>335</v>
      </c>
      <c r="C103" t="s">
        <v>460</v>
      </c>
      <c r="D103" s="7">
        <v>46282.46944444445</v>
      </c>
      <c r="E103" t="s">
        <v>33</v>
      </c>
      <c r="F103" t="s">
        <v>34</v>
      </c>
      <c r="G103" t="s">
        <v>35</v>
      </c>
      <c r="I103" t="s">
        <v>48</v>
      </c>
      <c r="J103" t="s">
        <v>49</v>
      </c>
      <c r="K103" s="8">
        <v>15738.57</v>
      </c>
      <c r="L103" s="8">
        <v>15738.57</v>
      </c>
      <c r="M103" s="8">
        <v>17627.2</v>
      </c>
      <c r="N103">
        <v>1</v>
      </c>
      <c r="O103">
        <v>0</v>
      </c>
      <c r="P103" s="8">
        <v>0</v>
      </c>
      <c r="Q103" s="8">
        <v>0</v>
      </c>
      <c r="R103" s="8">
        <v>0</v>
      </c>
      <c r="S103">
        <v>2</v>
      </c>
      <c r="T103">
        <v>4</v>
      </c>
      <c r="U103" t="s">
        <v>80</v>
      </c>
      <c r="V103" t="s">
        <v>461</v>
      </c>
      <c r="W103" t="s">
        <v>462</v>
      </c>
      <c r="X103" t="s">
        <v>339</v>
      </c>
      <c r="Y103">
        <v>35</v>
      </c>
      <c r="Z103" t="s">
        <v>42</v>
      </c>
      <c r="AA103" t="s">
        <v>116</v>
      </c>
      <c r="AB103" t="s">
        <v>44</v>
      </c>
    </row>
    <row r="104" spans="1:28" ht="20" customHeight="1">
      <c r="A104" t="s">
        <v>334</v>
      </c>
      <c r="B104" t="s">
        <v>335</v>
      </c>
      <c r="C104" t="s">
        <v>463</v>
      </c>
      <c r="D104" s="7">
        <v>46282.65763888889</v>
      </c>
      <c r="E104" t="s">
        <v>33</v>
      </c>
      <c r="F104" t="s">
        <v>34</v>
      </c>
      <c r="G104" t="s">
        <v>35</v>
      </c>
      <c r="I104" t="s">
        <v>48</v>
      </c>
      <c r="J104" t="s">
        <v>49</v>
      </c>
      <c r="K104" s="8">
        <v>21785.71</v>
      </c>
      <c r="L104" s="8">
        <v>21785.71</v>
      </c>
      <c r="M104" s="8">
        <v>24400</v>
      </c>
      <c r="N104">
        <v>1</v>
      </c>
      <c r="O104">
        <v>0</v>
      </c>
      <c r="P104" s="8">
        <v>0</v>
      </c>
      <c r="Q104" s="8">
        <v>0</v>
      </c>
      <c r="R104" s="8">
        <v>0</v>
      </c>
      <c r="S104">
        <v>2</v>
      </c>
      <c r="T104">
        <v>4</v>
      </c>
      <c r="U104" t="s">
        <v>80</v>
      </c>
      <c r="V104" t="s">
        <v>164</v>
      </c>
      <c r="W104" t="s">
        <v>464</v>
      </c>
      <c r="X104" t="s">
        <v>339</v>
      </c>
      <c r="Y104">
        <v>36</v>
      </c>
      <c r="Z104" t="s">
        <v>42</v>
      </c>
      <c r="AA104" t="s">
        <v>465</v>
      </c>
      <c r="AB104" t="s">
        <v>44</v>
      </c>
    </row>
    <row r="105" spans="1:28" ht="20" customHeight="1">
      <c r="A105" t="s">
        <v>334</v>
      </c>
      <c r="B105" t="s">
        <v>340</v>
      </c>
      <c r="C105" t="s">
        <v>466</v>
      </c>
      <c r="D105" s="7">
        <v>46282.76736111111</v>
      </c>
      <c r="E105" t="s">
        <v>33</v>
      </c>
      <c r="F105" t="s">
        <v>34</v>
      </c>
      <c r="G105" t="s">
        <v>35</v>
      </c>
      <c r="H105" t="s">
        <v>35</v>
      </c>
      <c r="I105" t="s">
        <v>48</v>
      </c>
      <c r="J105" t="s">
        <v>49</v>
      </c>
      <c r="K105" s="8">
        <v>21581.07</v>
      </c>
      <c r="L105" s="8">
        <v>21581.07</v>
      </c>
      <c r="M105" s="8">
        <v>24170.8</v>
      </c>
      <c r="N105">
        <v>1</v>
      </c>
      <c r="O105">
        <v>0</v>
      </c>
      <c r="P105" s="8">
        <v>0</v>
      </c>
      <c r="Q105" s="8">
        <v>0</v>
      </c>
      <c r="R105" s="8">
        <v>0</v>
      </c>
      <c r="S105">
        <v>2</v>
      </c>
      <c r="T105">
        <v>4</v>
      </c>
      <c r="U105" t="s">
        <v>127</v>
      </c>
      <c r="V105" t="s">
        <v>467</v>
      </c>
      <c r="W105" t="s">
        <v>468</v>
      </c>
      <c r="X105" t="s">
        <v>339</v>
      </c>
      <c r="Y105">
        <v>37</v>
      </c>
      <c r="Z105" t="s">
        <v>42</v>
      </c>
      <c r="AA105" t="s">
        <v>469</v>
      </c>
      <c r="AB105" t="s">
        <v>44</v>
      </c>
    </row>
    <row r="106" spans="1:28" ht="20" customHeight="1">
      <c r="A106" t="s">
        <v>334</v>
      </c>
      <c r="B106" t="s">
        <v>335</v>
      </c>
      <c r="C106" t="s">
        <v>470</v>
      </c>
      <c r="D106" s="7">
        <v>46283.27222222222</v>
      </c>
      <c r="E106" t="s">
        <v>33</v>
      </c>
      <c r="F106" t="s">
        <v>34</v>
      </c>
      <c r="G106" t="s">
        <v>35</v>
      </c>
      <c r="I106" t="s">
        <v>122</v>
      </c>
      <c r="J106" t="s">
        <v>69</v>
      </c>
      <c r="K106" s="8">
        <v>9837.860000000001</v>
      </c>
      <c r="L106" s="8">
        <v>0</v>
      </c>
      <c r="M106" s="8">
        <v>11018.4</v>
      </c>
      <c r="N106">
        <v>0</v>
      </c>
      <c r="O106">
        <v>0</v>
      </c>
      <c r="P106" s="8">
        <v>9837.860000000001</v>
      </c>
      <c r="Q106" s="8">
        <v>0</v>
      </c>
      <c r="R106" s="8">
        <v>0</v>
      </c>
      <c r="S106">
        <v>2</v>
      </c>
      <c r="T106">
        <v>4</v>
      </c>
      <c r="U106" t="s">
        <v>75</v>
      </c>
      <c r="V106" t="s">
        <v>471</v>
      </c>
      <c r="W106" t="s">
        <v>472</v>
      </c>
      <c r="X106" t="s">
        <v>339</v>
      </c>
      <c r="Y106">
        <v>38</v>
      </c>
      <c r="Z106" t="s">
        <v>42</v>
      </c>
      <c r="AA106" t="s">
        <v>473</v>
      </c>
      <c r="AB106" t="s">
        <v>44</v>
      </c>
    </row>
    <row r="107" spans="1:28" ht="20" customHeight="1">
      <c r="A107" t="s">
        <v>334</v>
      </c>
      <c r="B107" t="s">
        <v>340</v>
      </c>
      <c r="C107" t="s">
        <v>474</v>
      </c>
      <c r="D107" s="7">
        <v>46283.34930555556</v>
      </c>
      <c r="E107" t="s">
        <v>33</v>
      </c>
      <c r="F107" t="s">
        <v>34</v>
      </c>
      <c r="G107" t="s">
        <v>35</v>
      </c>
      <c r="H107" t="s">
        <v>35</v>
      </c>
      <c r="I107" t="s">
        <v>48</v>
      </c>
      <c r="J107" t="s">
        <v>49</v>
      </c>
      <c r="K107" s="8">
        <v>32628.21</v>
      </c>
      <c r="L107" s="8">
        <v>32628.21</v>
      </c>
      <c r="M107" s="8">
        <v>36543.6</v>
      </c>
      <c r="N107">
        <v>1</v>
      </c>
      <c r="O107">
        <v>0</v>
      </c>
      <c r="P107" s="8">
        <v>0</v>
      </c>
      <c r="Q107" s="8">
        <v>0</v>
      </c>
      <c r="R107" s="8">
        <v>0</v>
      </c>
      <c r="S107">
        <v>2</v>
      </c>
      <c r="T107">
        <v>4</v>
      </c>
      <c r="U107" t="s">
        <v>299</v>
      </c>
      <c r="V107" t="s">
        <v>475</v>
      </c>
      <c r="W107" t="s">
        <v>476</v>
      </c>
      <c r="X107" t="s">
        <v>339</v>
      </c>
      <c r="Y107">
        <v>39</v>
      </c>
      <c r="Z107" t="s">
        <v>42</v>
      </c>
      <c r="AA107" t="s">
        <v>477</v>
      </c>
      <c r="AB107" t="s">
        <v>44</v>
      </c>
    </row>
    <row r="108" spans="1:28" ht="20" customHeight="1">
      <c r="A108" t="s">
        <v>334</v>
      </c>
      <c r="B108" t="s">
        <v>340</v>
      </c>
      <c r="C108" t="s">
        <v>478</v>
      </c>
      <c r="D108" s="7">
        <v>46283.53263888889</v>
      </c>
      <c r="E108" t="s">
        <v>33</v>
      </c>
      <c r="F108" t="s">
        <v>34</v>
      </c>
      <c r="G108" t="s">
        <v>35</v>
      </c>
      <c r="I108" t="s">
        <v>36</v>
      </c>
      <c r="J108" t="s">
        <v>37</v>
      </c>
      <c r="K108" s="8">
        <v>9180.360000000001</v>
      </c>
      <c r="L108" s="8">
        <v>0</v>
      </c>
      <c r="M108" s="8">
        <v>10282</v>
      </c>
      <c r="N108">
        <v>0</v>
      </c>
      <c r="O108">
        <v>0</v>
      </c>
      <c r="P108" s="8">
        <v>9180.360000000001</v>
      </c>
      <c r="Q108" s="8">
        <v>0</v>
      </c>
      <c r="R108" s="8">
        <v>0</v>
      </c>
      <c r="S108">
        <v>2</v>
      </c>
      <c r="T108">
        <v>4</v>
      </c>
      <c r="U108" t="s">
        <v>234</v>
      </c>
      <c r="V108" t="s">
        <v>479</v>
      </c>
      <c r="W108" t="s">
        <v>480</v>
      </c>
      <c r="X108" t="s">
        <v>339</v>
      </c>
      <c r="Y108">
        <v>40</v>
      </c>
      <c r="Z108" t="s">
        <v>42</v>
      </c>
      <c r="AA108" t="s">
        <v>481</v>
      </c>
      <c r="AB108" t="s">
        <v>44</v>
      </c>
    </row>
    <row r="109" spans="1:28" ht="20" customHeight="1">
      <c r="A109" t="s">
        <v>334</v>
      </c>
      <c r="B109" t="s">
        <v>340</v>
      </c>
      <c r="C109" t="s">
        <v>482</v>
      </c>
      <c r="D109" s="7">
        <v>46283.57638888889</v>
      </c>
      <c r="E109" t="s">
        <v>33</v>
      </c>
      <c r="F109" t="s">
        <v>34</v>
      </c>
      <c r="G109" t="s">
        <v>35</v>
      </c>
      <c r="H109" t="s">
        <v>35</v>
      </c>
      <c r="I109" t="s">
        <v>48</v>
      </c>
      <c r="J109" t="s">
        <v>49</v>
      </c>
      <c r="K109" s="8">
        <v>15419.64</v>
      </c>
      <c r="L109" s="8">
        <v>15419.64</v>
      </c>
      <c r="M109" s="8">
        <v>17270</v>
      </c>
      <c r="N109">
        <v>1</v>
      </c>
      <c r="O109">
        <v>0</v>
      </c>
      <c r="P109" s="8">
        <v>0</v>
      </c>
      <c r="Q109" s="8">
        <v>0</v>
      </c>
      <c r="R109" s="8">
        <v>0</v>
      </c>
      <c r="S109">
        <v>2</v>
      </c>
      <c r="T109">
        <v>4</v>
      </c>
      <c r="U109" t="s">
        <v>50</v>
      </c>
      <c r="V109" t="s">
        <v>483</v>
      </c>
      <c r="W109" t="s">
        <v>484</v>
      </c>
      <c r="X109" t="s">
        <v>339</v>
      </c>
      <c r="Y109">
        <v>41</v>
      </c>
      <c r="Z109" t="s">
        <v>42</v>
      </c>
      <c r="AA109" t="s">
        <v>485</v>
      </c>
      <c r="AB109" t="s">
        <v>44</v>
      </c>
    </row>
    <row r="110" spans="1:28" ht="20" customHeight="1">
      <c r="A110" t="s">
        <v>334</v>
      </c>
      <c r="B110" t="s">
        <v>335</v>
      </c>
      <c r="C110" t="s">
        <v>486</v>
      </c>
      <c r="D110" s="7">
        <v>46283.65763888889</v>
      </c>
      <c r="E110" t="s">
        <v>33</v>
      </c>
      <c r="F110" t="s">
        <v>34</v>
      </c>
      <c r="G110" t="s">
        <v>342</v>
      </c>
      <c r="H110" t="s">
        <v>175</v>
      </c>
      <c r="I110" t="s">
        <v>48</v>
      </c>
      <c r="J110" t="s">
        <v>49</v>
      </c>
      <c r="K110" s="8">
        <v>14965.71</v>
      </c>
      <c r="L110" s="8">
        <v>14965.71</v>
      </c>
      <c r="M110" s="8">
        <v>16761.6</v>
      </c>
      <c r="N110">
        <v>1</v>
      </c>
      <c r="O110">
        <v>0</v>
      </c>
      <c r="P110" s="8">
        <v>0</v>
      </c>
      <c r="Q110" s="8">
        <v>0</v>
      </c>
      <c r="R110" s="8">
        <v>0</v>
      </c>
      <c r="S110">
        <v>2</v>
      </c>
      <c r="T110">
        <v>4</v>
      </c>
      <c r="U110" t="s">
        <v>299</v>
      </c>
      <c r="V110" t="s">
        <v>487</v>
      </c>
      <c r="W110" t="s">
        <v>488</v>
      </c>
      <c r="X110" t="s">
        <v>339</v>
      </c>
      <c r="Y110">
        <v>42</v>
      </c>
      <c r="Z110" t="s">
        <v>42</v>
      </c>
      <c r="AA110" t="s">
        <v>178</v>
      </c>
      <c r="AB110" t="s">
        <v>44</v>
      </c>
    </row>
    <row r="111" spans="1:28" ht="20" customHeight="1">
      <c r="A111" t="s">
        <v>334</v>
      </c>
      <c r="B111" t="s">
        <v>335</v>
      </c>
      <c r="C111" t="s">
        <v>489</v>
      </c>
      <c r="D111" s="7">
        <v>46283.76527777778</v>
      </c>
      <c r="E111" t="s">
        <v>33</v>
      </c>
      <c r="F111" t="s">
        <v>34</v>
      </c>
      <c r="G111" t="s">
        <v>35</v>
      </c>
      <c r="H111" t="s">
        <v>35</v>
      </c>
      <c r="I111" t="s">
        <v>48</v>
      </c>
      <c r="J111" t="s">
        <v>49</v>
      </c>
      <c r="K111" s="8">
        <v>22343.21</v>
      </c>
      <c r="L111" s="8">
        <v>22343.21</v>
      </c>
      <c r="M111" s="8">
        <v>25024.4</v>
      </c>
      <c r="N111">
        <v>1</v>
      </c>
      <c r="O111">
        <v>0</v>
      </c>
      <c r="P111" s="8">
        <v>0</v>
      </c>
      <c r="Q111" s="8">
        <v>0</v>
      </c>
      <c r="R111" s="8">
        <v>0</v>
      </c>
      <c r="S111">
        <v>2</v>
      </c>
      <c r="T111">
        <v>4</v>
      </c>
      <c r="U111" t="s">
        <v>299</v>
      </c>
      <c r="V111" t="s">
        <v>490</v>
      </c>
      <c r="W111" t="s">
        <v>491</v>
      </c>
      <c r="X111" t="s">
        <v>339</v>
      </c>
      <c r="Y111">
        <v>43</v>
      </c>
      <c r="Z111" t="s">
        <v>42</v>
      </c>
      <c r="AA111" t="s">
        <v>492</v>
      </c>
      <c r="AB111" t="s">
        <v>44</v>
      </c>
    </row>
    <row r="112" spans="1:28" ht="20" customHeight="1">
      <c r="A112" t="s">
        <v>334</v>
      </c>
      <c r="B112" t="s">
        <v>335</v>
      </c>
      <c r="C112" t="s">
        <v>493</v>
      </c>
      <c r="D112" s="7">
        <v>46284.53125</v>
      </c>
      <c r="E112" t="s">
        <v>33</v>
      </c>
      <c r="F112" t="s">
        <v>34</v>
      </c>
      <c r="G112" t="s">
        <v>35</v>
      </c>
      <c r="I112" t="s">
        <v>48</v>
      </c>
      <c r="J112" t="s">
        <v>69</v>
      </c>
      <c r="K112" s="8">
        <v>7766.88</v>
      </c>
      <c r="L112" s="8">
        <v>7766.88</v>
      </c>
      <c r="M112" s="8">
        <v>8698.9</v>
      </c>
      <c r="N112">
        <v>1</v>
      </c>
      <c r="O112">
        <v>0</v>
      </c>
      <c r="P112" s="8">
        <v>0</v>
      </c>
      <c r="Q112" s="8">
        <v>0</v>
      </c>
      <c r="R112" s="8">
        <v>0</v>
      </c>
      <c r="S112">
        <v>2</v>
      </c>
      <c r="T112">
        <v>2</v>
      </c>
      <c r="U112" t="s">
        <v>80</v>
      </c>
      <c r="V112" t="s">
        <v>494</v>
      </c>
      <c r="W112" t="s">
        <v>495</v>
      </c>
      <c r="X112" t="s">
        <v>339</v>
      </c>
      <c r="Y112">
        <v>44</v>
      </c>
      <c r="Z112" t="s">
        <v>42</v>
      </c>
      <c r="AA112" t="s">
        <v>496</v>
      </c>
      <c r="AB112" t="s">
        <v>44</v>
      </c>
    </row>
    <row r="113" spans="1:28" ht="20" customHeight="1">
      <c r="A113" t="s">
        <v>334</v>
      </c>
      <c r="B113" t="s">
        <v>335</v>
      </c>
      <c r="C113" t="s">
        <v>497</v>
      </c>
      <c r="D113" s="7">
        <v>46284.63888888889</v>
      </c>
      <c r="E113" t="s">
        <v>33</v>
      </c>
      <c r="F113" t="s">
        <v>34</v>
      </c>
      <c r="G113" t="s">
        <v>342</v>
      </c>
      <c r="H113" t="s">
        <v>175</v>
      </c>
      <c r="I113" t="s">
        <v>122</v>
      </c>
      <c r="J113" t="s">
        <v>69</v>
      </c>
      <c r="K113" s="8">
        <v>15672.68</v>
      </c>
      <c r="L113" s="8">
        <v>0</v>
      </c>
      <c r="M113" s="8">
        <v>17553.4</v>
      </c>
      <c r="N113">
        <v>0</v>
      </c>
      <c r="O113">
        <v>0</v>
      </c>
      <c r="P113" s="8">
        <v>15672.68</v>
      </c>
      <c r="Q113" s="8">
        <v>0</v>
      </c>
      <c r="R113" s="8">
        <v>0</v>
      </c>
      <c r="S113">
        <v>2</v>
      </c>
      <c r="T113">
        <v>4</v>
      </c>
      <c r="U113" t="s">
        <v>80</v>
      </c>
      <c r="V113" t="s">
        <v>494</v>
      </c>
      <c r="W113" t="s">
        <v>498</v>
      </c>
      <c r="X113" t="s">
        <v>339</v>
      </c>
      <c r="Y113">
        <v>45</v>
      </c>
      <c r="Z113" t="s">
        <v>42</v>
      </c>
      <c r="AA113" t="s">
        <v>499</v>
      </c>
      <c r="AB113" t="s">
        <v>44</v>
      </c>
    </row>
    <row r="114" spans="1:28" ht="20" customHeight="1">
      <c r="A114" t="s">
        <v>334</v>
      </c>
      <c r="B114" t="s">
        <v>335</v>
      </c>
      <c r="C114" t="s">
        <v>500</v>
      </c>
      <c r="D114" s="7">
        <v>46285.36666666667</v>
      </c>
      <c r="E114" t="s">
        <v>33</v>
      </c>
      <c r="F114" t="s">
        <v>34</v>
      </c>
      <c r="G114" t="s">
        <v>35</v>
      </c>
      <c r="I114" t="s">
        <v>122</v>
      </c>
      <c r="J114" t="s">
        <v>49</v>
      </c>
      <c r="K114" s="8">
        <v>19588.57</v>
      </c>
      <c r="L114" s="8">
        <v>0</v>
      </c>
      <c r="M114" s="8">
        <v>21939.2</v>
      </c>
      <c r="N114">
        <v>0</v>
      </c>
      <c r="O114">
        <v>0</v>
      </c>
      <c r="P114" s="8">
        <v>19588.57</v>
      </c>
      <c r="Q114" s="8">
        <v>0</v>
      </c>
      <c r="R114" s="8">
        <v>0</v>
      </c>
      <c r="S114">
        <v>2</v>
      </c>
      <c r="T114">
        <v>4</v>
      </c>
      <c r="U114" t="s">
        <v>80</v>
      </c>
      <c r="V114" t="s">
        <v>501</v>
      </c>
      <c r="W114" t="s">
        <v>502</v>
      </c>
      <c r="X114" t="s">
        <v>339</v>
      </c>
      <c r="Y114">
        <v>46</v>
      </c>
      <c r="Z114" t="s">
        <v>42</v>
      </c>
      <c r="AA114" t="s">
        <v>503</v>
      </c>
      <c r="AB114" t="s">
        <v>44</v>
      </c>
    </row>
    <row r="115" spans="1:28" ht="20" customHeight="1">
      <c r="A115" t="s">
        <v>334</v>
      </c>
      <c r="B115" t="s">
        <v>335</v>
      </c>
      <c r="C115" t="s">
        <v>504</v>
      </c>
      <c r="D115" s="7">
        <v>46285.37291666667</v>
      </c>
      <c r="E115" t="s">
        <v>33</v>
      </c>
      <c r="F115" t="s">
        <v>34</v>
      </c>
      <c r="G115" t="s">
        <v>35</v>
      </c>
      <c r="I115" t="s">
        <v>122</v>
      </c>
      <c r="J115" t="s">
        <v>49</v>
      </c>
      <c r="K115" s="8">
        <v>8763.93</v>
      </c>
      <c r="L115" s="8">
        <v>0</v>
      </c>
      <c r="M115" s="8">
        <v>9815.6</v>
      </c>
      <c r="N115">
        <v>0</v>
      </c>
      <c r="O115">
        <v>0</v>
      </c>
      <c r="P115" s="8">
        <v>8763.93</v>
      </c>
      <c r="Q115" s="8">
        <v>0</v>
      </c>
      <c r="R115" s="8">
        <v>0</v>
      </c>
      <c r="S115">
        <v>2</v>
      </c>
      <c r="T115">
        <v>2</v>
      </c>
      <c r="U115" t="s">
        <v>80</v>
      </c>
      <c r="V115" t="s">
        <v>505</v>
      </c>
      <c r="W115" t="s">
        <v>506</v>
      </c>
      <c r="X115" t="s">
        <v>339</v>
      </c>
      <c r="Y115">
        <v>47</v>
      </c>
      <c r="Z115" t="s">
        <v>42</v>
      </c>
      <c r="AA115" t="s">
        <v>507</v>
      </c>
      <c r="AB115" t="s">
        <v>44</v>
      </c>
    </row>
    <row r="116" spans="1:28" ht="20" customHeight="1">
      <c r="A116" t="s">
        <v>334</v>
      </c>
      <c r="B116" t="s">
        <v>340</v>
      </c>
      <c r="C116" t="s">
        <v>508</v>
      </c>
      <c r="D116" s="7">
        <v>46285.46527777778</v>
      </c>
      <c r="E116" t="s">
        <v>33</v>
      </c>
      <c r="F116" t="s">
        <v>34</v>
      </c>
      <c r="G116" t="s">
        <v>35</v>
      </c>
      <c r="I116" t="s">
        <v>48</v>
      </c>
      <c r="J116" t="s">
        <v>49</v>
      </c>
      <c r="K116" s="8">
        <v>30459.82</v>
      </c>
      <c r="L116" s="8">
        <v>30459.82</v>
      </c>
      <c r="M116" s="8">
        <v>34115</v>
      </c>
      <c r="N116">
        <v>1</v>
      </c>
      <c r="O116">
        <v>0</v>
      </c>
      <c r="P116" s="8">
        <v>0</v>
      </c>
      <c r="Q116" s="8">
        <v>0</v>
      </c>
      <c r="R116" s="8">
        <v>0</v>
      </c>
      <c r="S116">
        <v>2</v>
      </c>
      <c r="T116">
        <v>4</v>
      </c>
      <c r="U116" t="s">
        <v>50</v>
      </c>
      <c r="V116" t="s">
        <v>509</v>
      </c>
      <c r="W116" t="s">
        <v>510</v>
      </c>
      <c r="X116" t="s">
        <v>339</v>
      </c>
      <c r="Y116">
        <v>48</v>
      </c>
      <c r="Z116" t="s">
        <v>42</v>
      </c>
      <c r="AA116" t="s">
        <v>511</v>
      </c>
      <c r="AB116" t="s">
        <v>44</v>
      </c>
    </row>
    <row r="117" spans="1:28" ht="20" customHeight="1">
      <c r="A117" t="s">
        <v>334</v>
      </c>
      <c r="B117" t="s">
        <v>335</v>
      </c>
      <c r="C117" t="s">
        <v>512</v>
      </c>
      <c r="D117" s="7">
        <v>46285.74375</v>
      </c>
      <c r="E117" t="s">
        <v>33</v>
      </c>
      <c r="F117" t="s">
        <v>34</v>
      </c>
      <c r="G117" t="s">
        <v>35</v>
      </c>
      <c r="H117" t="s">
        <v>35</v>
      </c>
      <c r="I117" t="s">
        <v>122</v>
      </c>
      <c r="J117" t="s">
        <v>69</v>
      </c>
      <c r="K117" s="8">
        <v>15508.93</v>
      </c>
      <c r="L117" s="8">
        <v>0</v>
      </c>
      <c r="M117" s="8">
        <v>17370</v>
      </c>
      <c r="N117">
        <v>0</v>
      </c>
      <c r="O117">
        <v>0</v>
      </c>
      <c r="P117" s="8">
        <v>15508.93</v>
      </c>
      <c r="Q117" s="8">
        <v>0</v>
      </c>
      <c r="R117" s="8">
        <v>0</v>
      </c>
      <c r="S117">
        <v>2</v>
      </c>
      <c r="T117">
        <v>4</v>
      </c>
      <c r="U117" t="s">
        <v>50</v>
      </c>
      <c r="V117" t="s">
        <v>483</v>
      </c>
      <c r="W117" t="s">
        <v>513</v>
      </c>
      <c r="X117" t="s">
        <v>339</v>
      </c>
      <c r="Y117">
        <v>49</v>
      </c>
      <c r="Z117" t="s">
        <v>42</v>
      </c>
      <c r="AA117" t="s">
        <v>514</v>
      </c>
      <c r="AB117" t="s">
        <v>44</v>
      </c>
    </row>
    <row r="118" spans="1:28" ht="20" customHeight="1">
      <c r="A118" t="s">
        <v>334</v>
      </c>
      <c r="B118" t="s">
        <v>335</v>
      </c>
      <c r="C118" t="s">
        <v>515</v>
      </c>
      <c r="D118" s="7">
        <v>46286.49375</v>
      </c>
      <c r="E118" t="s">
        <v>33</v>
      </c>
      <c r="F118" t="s">
        <v>34</v>
      </c>
      <c r="G118" t="s">
        <v>35</v>
      </c>
      <c r="I118" t="s">
        <v>122</v>
      </c>
      <c r="J118" t="s">
        <v>49</v>
      </c>
      <c r="K118" s="8">
        <v>10597.32</v>
      </c>
      <c r="L118" s="8">
        <v>0</v>
      </c>
      <c r="M118" s="8">
        <v>11869</v>
      </c>
      <c r="N118">
        <v>0</v>
      </c>
      <c r="O118">
        <v>0</v>
      </c>
      <c r="P118" s="8">
        <v>10597.32</v>
      </c>
      <c r="Q118" s="8">
        <v>0</v>
      </c>
      <c r="R118" s="8">
        <v>0</v>
      </c>
      <c r="S118">
        <v>2</v>
      </c>
      <c r="T118">
        <v>4</v>
      </c>
      <c r="U118" t="s">
        <v>75</v>
      </c>
      <c r="V118" t="s">
        <v>516</v>
      </c>
      <c r="W118" t="s">
        <v>517</v>
      </c>
      <c r="X118" t="s">
        <v>339</v>
      </c>
      <c r="Y118">
        <v>50</v>
      </c>
      <c r="Z118" t="s">
        <v>42</v>
      </c>
      <c r="AA118" t="s">
        <v>518</v>
      </c>
      <c r="AB118" t="s">
        <v>44</v>
      </c>
    </row>
    <row r="119" spans="1:28" ht="20" customHeight="1">
      <c r="A119" t="s">
        <v>334</v>
      </c>
      <c r="B119" t="s">
        <v>335</v>
      </c>
      <c r="C119" t="s">
        <v>519</v>
      </c>
      <c r="D119" s="7">
        <v>46286.85069444445</v>
      </c>
      <c r="E119" t="s">
        <v>33</v>
      </c>
      <c r="F119" t="s">
        <v>34</v>
      </c>
      <c r="G119" t="s">
        <v>35</v>
      </c>
      <c r="I119" t="s">
        <v>122</v>
      </c>
      <c r="J119" t="s">
        <v>49</v>
      </c>
      <c r="K119" s="8">
        <v>5841.88</v>
      </c>
      <c r="L119" s="8">
        <v>0</v>
      </c>
      <c r="M119" s="8">
        <v>6542.9</v>
      </c>
      <c r="N119">
        <v>0</v>
      </c>
      <c r="O119">
        <v>0</v>
      </c>
      <c r="P119" s="8">
        <v>5841.88</v>
      </c>
      <c r="Q119" s="8">
        <v>0</v>
      </c>
      <c r="R119" s="8">
        <v>0</v>
      </c>
      <c r="S119">
        <v>2</v>
      </c>
      <c r="T119">
        <v>2</v>
      </c>
      <c r="U119" t="s">
        <v>57</v>
      </c>
      <c r="V119" t="s">
        <v>160</v>
      </c>
      <c r="W119" t="s">
        <v>520</v>
      </c>
      <c r="X119" t="s">
        <v>339</v>
      </c>
      <c r="Y119">
        <v>51</v>
      </c>
      <c r="Z119" t="s">
        <v>42</v>
      </c>
      <c r="AA119" t="s">
        <v>521</v>
      </c>
      <c r="AB119" t="s">
        <v>44</v>
      </c>
    </row>
    <row r="120" spans="1:28" ht="20" customHeight="1">
      <c r="A120" t="s">
        <v>334</v>
      </c>
      <c r="B120" t="s">
        <v>340</v>
      </c>
      <c r="C120" t="s">
        <v>522</v>
      </c>
      <c r="D120" s="7">
        <v>46287.12708333333</v>
      </c>
      <c r="E120" t="s">
        <v>146</v>
      </c>
      <c r="F120" t="s">
        <v>34</v>
      </c>
      <c r="G120" t="s">
        <v>35</v>
      </c>
      <c r="I120" t="s">
        <v>68</v>
      </c>
      <c r="J120" t="s">
        <v>69</v>
      </c>
      <c r="K120" s="8">
        <v>21875</v>
      </c>
      <c r="L120" s="8">
        <v>0</v>
      </c>
      <c r="M120" s="8">
        <v>24500</v>
      </c>
      <c r="N120">
        <v>0</v>
      </c>
      <c r="O120">
        <v>0</v>
      </c>
      <c r="P120" s="8">
        <v>21875</v>
      </c>
      <c r="Q120" s="8">
        <v>0</v>
      </c>
      <c r="R120" s="8">
        <v>0</v>
      </c>
      <c r="S120">
        <v>2</v>
      </c>
      <c r="T120">
        <v>4</v>
      </c>
      <c r="U120" t="s">
        <v>80</v>
      </c>
      <c r="V120" t="s">
        <v>164</v>
      </c>
      <c r="W120" t="s">
        <v>523</v>
      </c>
      <c r="X120" t="s">
        <v>339</v>
      </c>
      <c r="Y120">
        <v>52</v>
      </c>
      <c r="Z120" t="s">
        <v>42</v>
      </c>
      <c r="AA120" t="s">
        <v>524</v>
      </c>
      <c r="AB120" t="s">
        <v>44</v>
      </c>
    </row>
    <row r="121" spans="1:28" ht="20" customHeight="1">
      <c r="A121" t="s">
        <v>334</v>
      </c>
      <c r="B121" t="s">
        <v>335</v>
      </c>
      <c r="C121" t="s">
        <v>525</v>
      </c>
      <c r="D121" s="7">
        <v>46287.48194444444</v>
      </c>
      <c r="E121" t="s">
        <v>146</v>
      </c>
      <c r="F121" t="s">
        <v>34</v>
      </c>
      <c r="G121" t="s">
        <v>35</v>
      </c>
      <c r="I121" t="s">
        <v>122</v>
      </c>
      <c r="J121" t="s">
        <v>49</v>
      </c>
      <c r="K121" s="8">
        <v>6201.43</v>
      </c>
      <c r="L121" s="8">
        <v>0</v>
      </c>
      <c r="M121" s="8">
        <v>6945.6</v>
      </c>
      <c r="N121">
        <v>0</v>
      </c>
      <c r="O121">
        <v>0</v>
      </c>
      <c r="P121" s="8">
        <v>6201.43</v>
      </c>
      <c r="Q121" s="8">
        <v>0</v>
      </c>
      <c r="R121" s="8">
        <v>0</v>
      </c>
      <c r="S121">
        <v>2</v>
      </c>
      <c r="T121">
        <v>2</v>
      </c>
      <c r="U121" t="s">
        <v>80</v>
      </c>
      <c r="V121" t="s">
        <v>249</v>
      </c>
      <c r="W121" t="s">
        <v>526</v>
      </c>
      <c r="X121" t="s">
        <v>339</v>
      </c>
      <c r="Y121">
        <v>53</v>
      </c>
      <c r="Z121" t="s">
        <v>42</v>
      </c>
      <c r="AA121" t="s">
        <v>527</v>
      </c>
      <c r="AB121" t="s">
        <v>44</v>
      </c>
    </row>
    <row r="122" spans="1:28" ht="20" customHeight="1">
      <c r="A122" t="s">
        <v>334</v>
      </c>
      <c r="B122" t="s">
        <v>335</v>
      </c>
      <c r="C122" t="s">
        <v>528</v>
      </c>
      <c r="D122" s="7">
        <v>46287.69305555556</v>
      </c>
      <c r="E122" t="s">
        <v>146</v>
      </c>
      <c r="F122" t="s">
        <v>34</v>
      </c>
      <c r="G122" t="s">
        <v>35</v>
      </c>
      <c r="H122" t="s">
        <v>175</v>
      </c>
      <c r="I122" t="s">
        <v>68</v>
      </c>
      <c r="J122" t="s">
        <v>49</v>
      </c>
      <c r="K122" s="8">
        <v>17549.11</v>
      </c>
      <c r="L122" s="8">
        <v>0</v>
      </c>
      <c r="M122" s="8">
        <v>19655</v>
      </c>
      <c r="N122">
        <v>0</v>
      </c>
      <c r="O122">
        <v>0</v>
      </c>
      <c r="P122" s="8">
        <v>17549.11</v>
      </c>
      <c r="Q122" s="8">
        <v>0</v>
      </c>
      <c r="R122" s="8">
        <v>0</v>
      </c>
      <c r="S122">
        <v>2</v>
      </c>
      <c r="T122">
        <v>4</v>
      </c>
      <c r="U122" t="s">
        <v>50</v>
      </c>
      <c r="V122" t="s">
        <v>529</v>
      </c>
      <c r="W122" t="s">
        <v>530</v>
      </c>
      <c r="X122" t="s">
        <v>339</v>
      </c>
      <c r="Y122">
        <v>54</v>
      </c>
      <c r="Z122" t="s">
        <v>42</v>
      </c>
      <c r="AA122" t="s">
        <v>531</v>
      </c>
      <c r="AB122" t="s">
        <v>44</v>
      </c>
    </row>
    <row r="123" spans="1:28" ht="20" customHeight="1">
      <c r="A123" t="s">
        <v>334</v>
      </c>
      <c r="B123" t="s">
        <v>340</v>
      </c>
      <c r="C123" t="s">
        <v>532</v>
      </c>
      <c r="D123" s="7">
        <v>46287.93958333333</v>
      </c>
      <c r="E123" t="s">
        <v>146</v>
      </c>
      <c r="F123" t="s">
        <v>34</v>
      </c>
      <c r="G123" t="s">
        <v>35</v>
      </c>
      <c r="I123" t="s">
        <v>122</v>
      </c>
      <c r="J123" t="s">
        <v>49</v>
      </c>
      <c r="K123" s="8">
        <v>11238.48</v>
      </c>
      <c r="L123" s="8">
        <v>0</v>
      </c>
      <c r="M123" s="8">
        <v>12587.1</v>
      </c>
      <c r="N123">
        <v>0</v>
      </c>
      <c r="O123">
        <v>0</v>
      </c>
      <c r="P123" s="8">
        <v>11238.48</v>
      </c>
      <c r="Q123" s="8">
        <v>0</v>
      </c>
      <c r="R123" s="8">
        <v>0</v>
      </c>
      <c r="S123">
        <v>2</v>
      </c>
      <c r="T123">
        <v>2</v>
      </c>
      <c r="U123" t="s">
        <v>38</v>
      </c>
      <c r="V123" t="s">
        <v>533</v>
      </c>
      <c r="W123" t="s">
        <v>534</v>
      </c>
      <c r="X123" t="s">
        <v>339</v>
      </c>
      <c r="Y123">
        <v>55</v>
      </c>
      <c r="Z123" t="s">
        <v>42</v>
      </c>
      <c r="AA123" t="s">
        <v>535</v>
      </c>
      <c r="AB123" t="s">
        <v>44</v>
      </c>
    </row>
    <row r="124" spans="1:28" ht="20" customHeight="1">
      <c r="A124" t="s">
        <v>334</v>
      </c>
      <c r="B124" t="s">
        <v>340</v>
      </c>
      <c r="C124" t="s">
        <v>536</v>
      </c>
      <c r="D124" s="7">
        <v>46288.50833333333</v>
      </c>
      <c r="E124" t="s">
        <v>146</v>
      </c>
      <c r="F124" t="s">
        <v>34</v>
      </c>
      <c r="G124" t="s">
        <v>35</v>
      </c>
      <c r="I124" t="s">
        <v>122</v>
      </c>
      <c r="J124" t="s">
        <v>49</v>
      </c>
      <c r="K124" s="8">
        <v>11220.89</v>
      </c>
      <c r="L124" s="8">
        <v>0</v>
      </c>
      <c r="M124" s="8">
        <v>12567.4</v>
      </c>
      <c r="N124">
        <v>0</v>
      </c>
      <c r="O124">
        <v>0</v>
      </c>
      <c r="P124" s="8">
        <v>11220.89</v>
      </c>
      <c r="Q124" s="8">
        <v>0</v>
      </c>
      <c r="R124" s="8">
        <v>0</v>
      </c>
      <c r="S124">
        <v>2</v>
      </c>
      <c r="T124">
        <v>4</v>
      </c>
      <c r="U124" t="s">
        <v>57</v>
      </c>
      <c r="V124" t="s">
        <v>160</v>
      </c>
      <c r="W124" t="s">
        <v>537</v>
      </c>
      <c r="X124" t="s">
        <v>339</v>
      </c>
      <c r="Y124">
        <v>56</v>
      </c>
      <c r="Z124" t="s">
        <v>42</v>
      </c>
      <c r="AA124" t="s">
        <v>538</v>
      </c>
      <c r="AB124" t="s">
        <v>44</v>
      </c>
    </row>
    <row r="125" spans="1:28" ht="20" customHeight="1">
      <c r="A125" t="s">
        <v>334</v>
      </c>
      <c r="B125" t="s">
        <v>335</v>
      </c>
      <c r="C125" t="s">
        <v>539</v>
      </c>
      <c r="D125" s="7">
        <v>46288.54861111111</v>
      </c>
      <c r="E125" t="s">
        <v>146</v>
      </c>
      <c r="F125" t="s">
        <v>34</v>
      </c>
      <c r="G125" t="s">
        <v>540</v>
      </c>
      <c r="H125" t="s">
        <v>540</v>
      </c>
      <c r="I125" t="s">
        <v>122</v>
      </c>
      <c r="J125" t="s">
        <v>69</v>
      </c>
      <c r="K125" s="8">
        <v>71428.57000000001</v>
      </c>
      <c r="L125" s="8">
        <v>0</v>
      </c>
      <c r="M125" s="8">
        <v>80000</v>
      </c>
      <c r="N125">
        <v>0</v>
      </c>
      <c r="O125">
        <v>0</v>
      </c>
      <c r="P125" s="8">
        <v>71428.57000000001</v>
      </c>
      <c r="Q125" s="8">
        <v>0</v>
      </c>
      <c r="R125" s="8">
        <v>0</v>
      </c>
      <c r="S125">
        <v>2</v>
      </c>
      <c r="T125">
        <v>4</v>
      </c>
      <c r="U125" t="s">
        <v>541</v>
      </c>
      <c r="V125" t="s">
        <v>542</v>
      </c>
      <c r="W125" t="s">
        <v>543</v>
      </c>
      <c r="X125" t="s">
        <v>339</v>
      </c>
      <c r="Y125">
        <v>57</v>
      </c>
      <c r="Z125" t="s">
        <v>42</v>
      </c>
      <c r="AA125" t="s">
        <v>544</v>
      </c>
      <c r="AB125" t="s">
        <v>44</v>
      </c>
    </row>
    <row r="126" spans="1:28" ht="20" customHeight="1">
      <c r="A126" t="s">
        <v>334</v>
      </c>
      <c r="B126" t="s">
        <v>340</v>
      </c>
      <c r="C126" t="s">
        <v>545</v>
      </c>
      <c r="D126" s="7">
        <v>46288.58958333333</v>
      </c>
      <c r="E126" t="s">
        <v>146</v>
      </c>
      <c r="F126" t="s">
        <v>34</v>
      </c>
      <c r="G126" t="s">
        <v>35</v>
      </c>
      <c r="H126" t="s">
        <v>35</v>
      </c>
      <c r="I126" t="s">
        <v>122</v>
      </c>
      <c r="J126" t="s">
        <v>49</v>
      </c>
      <c r="K126" s="8">
        <v>6600.27</v>
      </c>
      <c r="L126" s="8">
        <v>0</v>
      </c>
      <c r="M126" s="8">
        <v>7392.3</v>
      </c>
      <c r="N126">
        <v>0</v>
      </c>
      <c r="O126">
        <v>0</v>
      </c>
      <c r="P126" s="8">
        <v>6600.27</v>
      </c>
      <c r="Q126" s="8">
        <v>0</v>
      </c>
      <c r="R126" s="8">
        <v>0</v>
      </c>
      <c r="S126">
        <v>2</v>
      </c>
      <c r="T126">
        <v>2</v>
      </c>
      <c r="U126" t="s">
        <v>289</v>
      </c>
      <c r="V126" t="s">
        <v>546</v>
      </c>
      <c r="W126" t="s">
        <v>547</v>
      </c>
      <c r="X126" t="s">
        <v>339</v>
      </c>
      <c r="Y126">
        <v>58</v>
      </c>
      <c r="Z126" t="s">
        <v>42</v>
      </c>
      <c r="AA126" t="s">
        <v>548</v>
      </c>
      <c r="AB126" t="s">
        <v>44</v>
      </c>
    </row>
    <row r="127" spans="1:28" ht="20" customHeight="1">
      <c r="A127" t="s">
        <v>334</v>
      </c>
      <c r="B127" t="s">
        <v>340</v>
      </c>
      <c r="C127" t="s">
        <v>549</v>
      </c>
      <c r="D127" s="7">
        <v>46288.59722222222</v>
      </c>
      <c r="E127" t="s">
        <v>146</v>
      </c>
      <c r="F127" t="s">
        <v>34</v>
      </c>
      <c r="G127" t="s">
        <v>35</v>
      </c>
      <c r="I127" t="s">
        <v>122</v>
      </c>
      <c r="J127" t="s">
        <v>69</v>
      </c>
      <c r="K127" s="8">
        <v>4763.39</v>
      </c>
      <c r="L127" s="8">
        <v>0</v>
      </c>
      <c r="M127" s="8">
        <v>5335</v>
      </c>
      <c r="N127">
        <v>0</v>
      </c>
      <c r="O127">
        <v>0</v>
      </c>
      <c r="P127" s="8">
        <v>4763.39</v>
      </c>
      <c r="Q127" s="8">
        <v>0</v>
      </c>
      <c r="R127" s="8">
        <v>0</v>
      </c>
      <c r="S127">
        <v>2</v>
      </c>
      <c r="T127">
        <v>1</v>
      </c>
      <c r="U127" t="s">
        <v>155</v>
      </c>
      <c r="V127" t="s">
        <v>550</v>
      </c>
      <c r="W127" t="s">
        <v>551</v>
      </c>
      <c r="X127" t="s">
        <v>339</v>
      </c>
      <c r="Y127">
        <v>59</v>
      </c>
      <c r="Z127" t="s">
        <v>42</v>
      </c>
      <c r="AA127" t="s">
        <v>552</v>
      </c>
      <c r="AB127" t="s">
        <v>44</v>
      </c>
    </row>
    <row r="128" spans="1:28" ht="20" customHeight="1">
      <c r="A128" t="s">
        <v>334</v>
      </c>
      <c r="B128" t="s">
        <v>335</v>
      </c>
      <c r="C128" t="s">
        <v>553</v>
      </c>
      <c r="D128" s="7">
        <v>46288.63263888889</v>
      </c>
      <c r="E128" t="s">
        <v>146</v>
      </c>
      <c r="F128" t="s">
        <v>34</v>
      </c>
      <c r="G128" t="s">
        <v>35</v>
      </c>
      <c r="H128" t="s">
        <v>63</v>
      </c>
      <c r="I128" t="s">
        <v>122</v>
      </c>
      <c r="J128" t="s">
        <v>69</v>
      </c>
      <c r="K128" s="8">
        <v>20003.04</v>
      </c>
      <c r="L128" s="8">
        <v>0</v>
      </c>
      <c r="M128" s="8">
        <v>22403.4</v>
      </c>
      <c r="N128">
        <v>0</v>
      </c>
      <c r="O128">
        <v>0</v>
      </c>
      <c r="P128" s="8">
        <v>20003.04</v>
      </c>
      <c r="Q128" s="8">
        <v>0</v>
      </c>
      <c r="R128" s="8">
        <v>0</v>
      </c>
      <c r="S128">
        <v>2</v>
      </c>
      <c r="T128">
        <v>4</v>
      </c>
      <c r="U128" t="s">
        <v>80</v>
      </c>
      <c r="V128" t="s">
        <v>554</v>
      </c>
      <c r="W128" t="s">
        <v>555</v>
      </c>
      <c r="X128" t="s">
        <v>339</v>
      </c>
      <c r="Y128">
        <v>60</v>
      </c>
      <c r="Z128" t="s">
        <v>42</v>
      </c>
      <c r="AA128" t="s">
        <v>556</v>
      </c>
      <c r="AB128" t="s">
        <v>44</v>
      </c>
    </row>
    <row r="129" spans="1:28" ht="20" customHeight="1">
      <c r="A129" t="s">
        <v>334</v>
      </c>
      <c r="B129" t="s">
        <v>335</v>
      </c>
      <c r="C129" t="s">
        <v>557</v>
      </c>
      <c r="D129" s="7">
        <v>46288.75</v>
      </c>
      <c r="E129" t="s">
        <v>146</v>
      </c>
      <c r="F129" t="s">
        <v>34</v>
      </c>
      <c r="G129" t="s">
        <v>35</v>
      </c>
      <c r="H129" t="s">
        <v>35</v>
      </c>
      <c r="I129" t="s">
        <v>132</v>
      </c>
      <c r="J129" t="s">
        <v>68</v>
      </c>
      <c r="K129" s="8">
        <v>7812.14</v>
      </c>
      <c r="L129" s="8">
        <v>0</v>
      </c>
      <c r="M129" s="8">
        <v>8749.6</v>
      </c>
      <c r="N129">
        <v>0</v>
      </c>
      <c r="O129">
        <v>1</v>
      </c>
      <c r="P129" s="8">
        <v>0</v>
      </c>
      <c r="Q129" s="8">
        <v>7812.14</v>
      </c>
      <c r="R129" s="8">
        <v>0</v>
      </c>
      <c r="S129">
        <v>2</v>
      </c>
      <c r="T129">
        <v>2</v>
      </c>
      <c r="U129" t="s">
        <v>75</v>
      </c>
      <c r="V129" t="s">
        <v>558</v>
      </c>
      <c r="W129" t="s">
        <v>559</v>
      </c>
      <c r="X129" t="s">
        <v>339</v>
      </c>
      <c r="Y129">
        <v>61</v>
      </c>
      <c r="Z129" t="s">
        <v>42</v>
      </c>
      <c r="AA129" t="s">
        <v>560</v>
      </c>
      <c r="AB129" t="s">
        <v>44</v>
      </c>
    </row>
    <row r="130" spans="1:28" ht="20" customHeight="1">
      <c r="A130" t="s">
        <v>334</v>
      </c>
      <c r="B130" t="s">
        <v>335</v>
      </c>
      <c r="C130" t="s">
        <v>561</v>
      </c>
      <c r="D130" s="7">
        <v>46288.84583333333</v>
      </c>
      <c r="E130" t="s">
        <v>146</v>
      </c>
      <c r="F130" t="s">
        <v>34</v>
      </c>
      <c r="G130" t="s">
        <v>35</v>
      </c>
      <c r="H130" t="s">
        <v>35</v>
      </c>
      <c r="I130" t="s">
        <v>122</v>
      </c>
      <c r="J130" t="s">
        <v>69</v>
      </c>
      <c r="K130" s="8">
        <v>27556.43</v>
      </c>
      <c r="L130" s="8">
        <v>0</v>
      </c>
      <c r="M130" s="8">
        <v>30863.2</v>
      </c>
      <c r="N130">
        <v>0</v>
      </c>
      <c r="O130">
        <v>0</v>
      </c>
      <c r="P130" s="8">
        <v>27556.43</v>
      </c>
      <c r="Q130" s="8">
        <v>0</v>
      </c>
      <c r="R130" s="8">
        <v>0</v>
      </c>
      <c r="S130">
        <v>2</v>
      </c>
      <c r="T130">
        <v>4</v>
      </c>
      <c r="U130" t="s">
        <v>80</v>
      </c>
      <c r="V130" t="s">
        <v>562</v>
      </c>
      <c r="W130" t="s">
        <v>563</v>
      </c>
      <c r="X130" t="s">
        <v>339</v>
      </c>
      <c r="Y130">
        <v>62</v>
      </c>
      <c r="Z130" t="s">
        <v>42</v>
      </c>
      <c r="AA130" t="s">
        <v>564</v>
      </c>
      <c r="AB130" t="s">
        <v>44</v>
      </c>
    </row>
    <row r="131" spans="1:28" ht="20" customHeight="1">
      <c r="A131" t="s">
        <v>334</v>
      </c>
      <c r="B131" t="s">
        <v>340</v>
      </c>
      <c r="C131" t="s">
        <v>565</v>
      </c>
      <c r="D131" s="7">
        <v>46289.47361111111</v>
      </c>
      <c r="E131" t="s">
        <v>146</v>
      </c>
      <c r="F131" t="s">
        <v>34</v>
      </c>
      <c r="G131" t="s">
        <v>35</v>
      </c>
      <c r="I131" t="s">
        <v>68</v>
      </c>
      <c r="J131" t="s">
        <v>49</v>
      </c>
      <c r="K131" s="8">
        <v>22432.5</v>
      </c>
      <c r="L131" s="8">
        <v>0</v>
      </c>
      <c r="M131" s="8">
        <v>25124.4</v>
      </c>
      <c r="N131">
        <v>0</v>
      </c>
      <c r="O131">
        <v>0</v>
      </c>
      <c r="P131" s="8">
        <v>22432.5</v>
      </c>
      <c r="Q131" s="8">
        <v>0</v>
      </c>
      <c r="R131" s="8">
        <v>0</v>
      </c>
      <c r="S131">
        <v>2</v>
      </c>
      <c r="T131">
        <v>4</v>
      </c>
      <c r="U131" t="s">
        <v>70</v>
      </c>
      <c r="V131" t="s">
        <v>566</v>
      </c>
      <c r="W131" t="s">
        <v>567</v>
      </c>
      <c r="X131" t="s">
        <v>339</v>
      </c>
      <c r="Y131">
        <v>63</v>
      </c>
      <c r="Z131" t="s">
        <v>42</v>
      </c>
      <c r="AA131" t="s">
        <v>538</v>
      </c>
      <c r="AB131" t="s">
        <v>44</v>
      </c>
    </row>
    <row r="132" spans="1:28" ht="20" customHeight="1">
      <c r="A132" t="s">
        <v>334</v>
      </c>
      <c r="B132" t="s">
        <v>335</v>
      </c>
      <c r="C132" t="s">
        <v>568</v>
      </c>
      <c r="D132" s="7"/>
      <c r="E132" t="s">
        <v>200</v>
      </c>
      <c r="F132" t="s">
        <v>569</v>
      </c>
      <c r="G132" t="s">
        <v>570</v>
      </c>
      <c r="H132" t="s">
        <v>570</v>
      </c>
      <c r="I132" t="s">
        <v>570</v>
      </c>
      <c r="J132" t="s">
        <v>570</v>
      </c>
      <c r="K132" s="8"/>
      <c r="L132" s="8"/>
      <c r="M132" s="8"/>
      <c r="N132">
        <v>0</v>
      </c>
      <c r="O132">
        <v>0</v>
      </c>
      <c r="P132" s="8"/>
      <c r="Q132" s="8"/>
      <c r="R132" s="8"/>
      <c r="S132">
        <v>2</v>
      </c>
      <c r="W132" t="s">
        <v>571</v>
      </c>
      <c r="X132" t="s">
        <v>339</v>
      </c>
      <c r="Y132">
        <v>64</v>
      </c>
      <c r="AB132" t="s">
        <v>570</v>
      </c>
    </row>
    <row r="133" spans="1:28" ht="20" customHeight="1">
      <c r="A133" t="s">
        <v>334</v>
      </c>
      <c r="B133" t="s">
        <v>340</v>
      </c>
      <c r="C133" t="s">
        <v>572</v>
      </c>
      <c r="D133" s="7">
        <v>46266.84236111111</v>
      </c>
      <c r="E133" t="s">
        <v>47</v>
      </c>
      <c r="F133" t="s">
        <v>34</v>
      </c>
      <c r="G133" t="s">
        <v>35</v>
      </c>
      <c r="I133" t="s">
        <v>48</v>
      </c>
      <c r="J133" t="s">
        <v>49</v>
      </c>
      <c r="K133" s="8">
        <v>11117.68</v>
      </c>
      <c r="L133" s="8">
        <v>11117.68</v>
      </c>
      <c r="M133" s="8">
        <v>12451.8</v>
      </c>
      <c r="N133">
        <v>1</v>
      </c>
      <c r="O133">
        <v>0</v>
      </c>
      <c r="P133" s="8">
        <v>0</v>
      </c>
      <c r="Q133" s="8">
        <v>0</v>
      </c>
      <c r="R133" s="8">
        <v>0</v>
      </c>
      <c r="S133">
        <v>2</v>
      </c>
      <c r="T133">
        <v>4</v>
      </c>
      <c r="U133" t="s">
        <v>57</v>
      </c>
      <c r="V133" t="s">
        <v>573</v>
      </c>
      <c r="W133" t="s">
        <v>574</v>
      </c>
      <c r="X133" t="s">
        <v>339</v>
      </c>
      <c r="Y133">
        <v>65</v>
      </c>
      <c r="Z133" t="s">
        <v>42</v>
      </c>
      <c r="AA133" t="s">
        <v>575</v>
      </c>
      <c r="AB133" t="s">
        <v>44</v>
      </c>
    </row>
    <row r="134" spans="1:28" ht="20" customHeight="1">
      <c r="A134" t="s">
        <v>334</v>
      </c>
      <c r="B134" t="s">
        <v>340</v>
      </c>
      <c r="C134" t="s">
        <v>576</v>
      </c>
      <c r="D134" s="7">
        <v>46266.98333333333</v>
      </c>
      <c r="E134" t="s">
        <v>47</v>
      </c>
      <c r="F134" t="s">
        <v>34</v>
      </c>
      <c r="G134" t="s">
        <v>35</v>
      </c>
      <c r="H134" t="s">
        <v>35</v>
      </c>
      <c r="I134" t="s">
        <v>132</v>
      </c>
      <c r="J134" t="s">
        <v>49</v>
      </c>
      <c r="K134" s="8">
        <v>7677.59</v>
      </c>
      <c r="L134" s="8">
        <v>0</v>
      </c>
      <c r="M134" s="8">
        <v>8598.9</v>
      </c>
      <c r="N134">
        <v>0</v>
      </c>
      <c r="O134">
        <v>1</v>
      </c>
      <c r="P134" s="8">
        <v>0</v>
      </c>
      <c r="Q134" s="8">
        <v>7677.59</v>
      </c>
      <c r="R134" s="8">
        <v>0</v>
      </c>
      <c r="S134">
        <v>2</v>
      </c>
      <c r="T134">
        <v>2</v>
      </c>
      <c r="U134" t="s">
        <v>80</v>
      </c>
      <c r="V134" t="s">
        <v>437</v>
      </c>
      <c r="W134" t="s">
        <v>577</v>
      </c>
      <c r="X134" t="s">
        <v>339</v>
      </c>
      <c r="Y134">
        <v>66</v>
      </c>
      <c r="Z134" t="s">
        <v>42</v>
      </c>
      <c r="AA134" t="s">
        <v>578</v>
      </c>
      <c r="AB134" t="s">
        <v>44</v>
      </c>
    </row>
    <row r="135" spans="1:28" ht="20" customHeight="1">
      <c r="A135" t="s">
        <v>334</v>
      </c>
      <c r="B135" t="s">
        <v>340</v>
      </c>
      <c r="C135" t="s">
        <v>579</v>
      </c>
      <c r="D135" s="7">
        <v>46267.34513888889</v>
      </c>
      <c r="E135" t="s">
        <v>47</v>
      </c>
      <c r="F135" t="s">
        <v>34</v>
      </c>
      <c r="G135" t="s">
        <v>35</v>
      </c>
      <c r="H135" t="s">
        <v>35</v>
      </c>
      <c r="I135" t="s">
        <v>48</v>
      </c>
      <c r="J135" t="s">
        <v>49</v>
      </c>
      <c r="K135" s="8">
        <v>10851.25</v>
      </c>
      <c r="L135" s="8">
        <v>10851.25</v>
      </c>
      <c r="M135" s="8">
        <v>12153.4</v>
      </c>
      <c r="N135">
        <v>1</v>
      </c>
      <c r="O135">
        <v>0</v>
      </c>
      <c r="P135" s="8">
        <v>0</v>
      </c>
      <c r="Q135" s="8">
        <v>0</v>
      </c>
      <c r="R135" s="8">
        <v>0</v>
      </c>
      <c r="S135">
        <v>2</v>
      </c>
      <c r="T135">
        <v>4</v>
      </c>
      <c r="U135" t="s">
        <v>80</v>
      </c>
      <c r="V135" t="s">
        <v>133</v>
      </c>
      <c r="W135" t="s">
        <v>580</v>
      </c>
      <c r="X135" t="s">
        <v>339</v>
      </c>
      <c r="Y135">
        <v>67</v>
      </c>
      <c r="Z135" t="s">
        <v>42</v>
      </c>
      <c r="AA135" t="s">
        <v>581</v>
      </c>
      <c r="AB135" t="s">
        <v>44</v>
      </c>
    </row>
    <row r="136" spans="1:28" ht="20" customHeight="1">
      <c r="A136" t="s">
        <v>334</v>
      </c>
      <c r="B136" t="s">
        <v>340</v>
      </c>
      <c r="C136" t="s">
        <v>582</v>
      </c>
      <c r="D136" s="7">
        <v>46267.46319444444</v>
      </c>
      <c r="E136" t="s">
        <v>47</v>
      </c>
      <c r="F136" t="s">
        <v>34</v>
      </c>
      <c r="G136" t="s">
        <v>35</v>
      </c>
      <c r="H136" t="s">
        <v>175</v>
      </c>
      <c r="I136" t="s">
        <v>48</v>
      </c>
      <c r="J136" t="s">
        <v>49</v>
      </c>
      <c r="K136" s="8">
        <v>6078.75</v>
      </c>
      <c r="L136" s="8">
        <v>6078.75</v>
      </c>
      <c r="M136" s="8">
        <v>6808.2</v>
      </c>
      <c r="N136">
        <v>1</v>
      </c>
      <c r="O136">
        <v>0</v>
      </c>
      <c r="P136" s="8">
        <v>0</v>
      </c>
      <c r="Q136" s="8">
        <v>0</v>
      </c>
      <c r="R136" s="8">
        <v>0</v>
      </c>
      <c r="S136">
        <v>2</v>
      </c>
      <c r="T136">
        <v>2</v>
      </c>
      <c r="U136" t="s">
        <v>299</v>
      </c>
      <c r="V136" t="s">
        <v>583</v>
      </c>
      <c r="W136" t="s">
        <v>584</v>
      </c>
      <c r="X136" t="s">
        <v>339</v>
      </c>
      <c r="Y136">
        <v>68</v>
      </c>
      <c r="Z136" t="s">
        <v>42</v>
      </c>
      <c r="AA136" t="s">
        <v>585</v>
      </c>
      <c r="AB136" t="s">
        <v>44</v>
      </c>
    </row>
    <row r="137" spans="1:28" ht="20" customHeight="1">
      <c r="A137" t="s">
        <v>334</v>
      </c>
      <c r="B137" t="s">
        <v>335</v>
      </c>
      <c r="C137" t="s">
        <v>586</v>
      </c>
      <c r="D137" s="7">
        <v>46267.72083333333</v>
      </c>
      <c r="E137" t="s">
        <v>47</v>
      </c>
      <c r="F137" t="s">
        <v>34</v>
      </c>
      <c r="G137" t="s">
        <v>35</v>
      </c>
      <c r="H137" t="s">
        <v>35</v>
      </c>
      <c r="I137" t="s">
        <v>48</v>
      </c>
      <c r="J137" t="s">
        <v>49</v>
      </c>
      <c r="K137" s="8">
        <v>19000.18</v>
      </c>
      <c r="L137" s="8">
        <v>19000.18</v>
      </c>
      <c r="M137" s="8">
        <v>21280.2</v>
      </c>
      <c r="N137">
        <v>1</v>
      </c>
      <c r="O137">
        <v>0</v>
      </c>
      <c r="P137" s="8">
        <v>0</v>
      </c>
      <c r="Q137" s="8">
        <v>0</v>
      </c>
      <c r="R137" s="8">
        <v>0</v>
      </c>
      <c r="S137">
        <v>2</v>
      </c>
      <c r="T137">
        <v>4</v>
      </c>
      <c r="U137" t="s">
        <v>80</v>
      </c>
      <c r="V137" t="s">
        <v>554</v>
      </c>
      <c r="W137" t="s">
        <v>587</v>
      </c>
      <c r="X137" t="s">
        <v>339</v>
      </c>
      <c r="Y137">
        <v>69</v>
      </c>
      <c r="Z137" t="s">
        <v>42</v>
      </c>
      <c r="AA137" t="s">
        <v>588</v>
      </c>
      <c r="AB137" t="s">
        <v>44</v>
      </c>
    </row>
    <row r="138" spans="1:28" ht="20" customHeight="1">
      <c r="A138" t="s">
        <v>334</v>
      </c>
      <c r="B138" t="s">
        <v>335</v>
      </c>
      <c r="C138" t="s">
        <v>589</v>
      </c>
      <c r="D138" s="7">
        <v>46267.85694444444</v>
      </c>
      <c r="E138" t="s">
        <v>47</v>
      </c>
      <c r="F138" t="s">
        <v>34</v>
      </c>
      <c r="G138" t="s">
        <v>35</v>
      </c>
      <c r="I138" t="s">
        <v>48</v>
      </c>
      <c r="J138" t="s">
        <v>49</v>
      </c>
      <c r="K138" s="8">
        <v>5455.36</v>
      </c>
      <c r="L138" s="8">
        <v>5455.36</v>
      </c>
      <c r="M138" s="8">
        <v>6110</v>
      </c>
      <c r="N138">
        <v>1</v>
      </c>
      <c r="O138">
        <v>0</v>
      </c>
      <c r="P138" s="8">
        <v>0</v>
      </c>
      <c r="Q138" s="8">
        <v>0</v>
      </c>
      <c r="R138" s="8">
        <v>0</v>
      </c>
      <c r="S138">
        <v>2</v>
      </c>
      <c r="T138">
        <v>1</v>
      </c>
      <c r="U138" t="s">
        <v>127</v>
      </c>
      <c r="V138" t="s">
        <v>467</v>
      </c>
      <c r="W138" t="s">
        <v>590</v>
      </c>
      <c r="X138" t="s">
        <v>339</v>
      </c>
      <c r="Y138">
        <v>70</v>
      </c>
      <c r="Z138" t="s">
        <v>42</v>
      </c>
      <c r="AA138" t="s">
        <v>575</v>
      </c>
      <c r="AB138" t="s">
        <v>44</v>
      </c>
    </row>
    <row r="139" spans="1:28" ht="20" customHeight="1">
      <c r="A139" t="s">
        <v>334</v>
      </c>
      <c r="B139" t="s">
        <v>335</v>
      </c>
      <c r="C139" t="s">
        <v>591</v>
      </c>
      <c r="D139" s="7">
        <v>46267.99791666667</v>
      </c>
      <c r="E139" t="s">
        <v>47</v>
      </c>
      <c r="F139" t="s">
        <v>34</v>
      </c>
      <c r="G139" t="s">
        <v>35</v>
      </c>
      <c r="H139" t="s">
        <v>35</v>
      </c>
      <c r="I139" t="s">
        <v>36</v>
      </c>
      <c r="J139" t="s">
        <v>37</v>
      </c>
      <c r="K139" s="8">
        <v>19659.82</v>
      </c>
      <c r="L139" s="8">
        <v>0</v>
      </c>
      <c r="M139" s="8">
        <v>22019</v>
      </c>
      <c r="N139">
        <v>0</v>
      </c>
      <c r="O139">
        <v>0</v>
      </c>
      <c r="P139" s="8">
        <v>19659.82</v>
      </c>
      <c r="Q139" s="8">
        <v>0</v>
      </c>
      <c r="R139" s="8">
        <v>0</v>
      </c>
      <c r="S139">
        <v>2</v>
      </c>
      <c r="T139">
        <v>4</v>
      </c>
      <c r="U139" t="s">
        <v>101</v>
      </c>
      <c r="V139" t="s">
        <v>188</v>
      </c>
      <c r="W139" t="s">
        <v>592</v>
      </c>
      <c r="X139" t="s">
        <v>339</v>
      </c>
      <c r="Y139">
        <v>71</v>
      </c>
      <c r="Z139" t="s">
        <v>42</v>
      </c>
      <c r="AA139" t="s">
        <v>593</v>
      </c>
      <c r="AB139" t="s">
        <v>44</v>
      </c>
    </row>
    <row r="140" spans="1:28" ht="20" customHeight="1">
      <c r="A140" t="s">
        <v>334</v>
      </c>
      <c r="B140" t="s">
        <v>335</v>
      </c>
      <c r="C140" t="s">
        <v>594</v>
      </c>
      <c r="D140" s="7">
        <v>46268.78472222222</v>
      </c>
      <c r="E140" t="s">
        <v>47</v>
      </c>
      <c r="F140" t="s">
        <v>34</v>
      </c>
      <c r="G140" t="s">
        <v>35</v>
      </c>
      <c r="H140" t="s">
        <v>35</v>
      </c>
      <c r="I140" t="s">
        <v>48</v>
      </c>
      <c r="J140" t="s">
        <v>49</v>
      </c>
      <c r="K140" s="8">
        <v>13856.43</v>
      </c>
      <c r="L140" s="8">
        <v>13856.43</v>
      </c>
      <c r="M140" s="8">
        <v>15519.2</v>
      </c>
      <c r="N140">
        <v>1</v>
      </c>
      <c r="O140">
        <v>0</v>
      </c>
      <c r="P140" s="8">
        <v>0</v>
      </c>
      <c r="Q140" s="8">
        <v>0</v>
      </c>
      <c r="R140" s="8">
        <v>0</v>
      </c>
      <c r="S140">
        <v>2</v>
      </c>
      <c r="T140">
        <v>4</v>
      </c>
      <c r="U140" t="s">
        <v>57</v>
      </c>
      <c r="V140" t="s">
        <v>343</v>
      </c>
      <c r="W140" t="s">
        <v>595</v>
      </c>
      <c r="X140" t="s">
        <v>339</v>
      </c>
      <c r="Y140">
        <v>72</v>
      </c>
      <c r="Z140" t="s">
        <v>42</v>
      </c>
      <c r="AA140" t="s">
        <v>596</v>
      </c>
      <c r="AB140" t="s">
        <v>44</v>
      </c>
    </row>
    <row r="141" spans="1:28" ht="20" customHeight="1">
      <c r="A141" t="s">
        <v>334</v>
      </c>
      <c r="B141" t="s">
        <v>340</v>
      </c>
      <c r="C141" t="s">
        <v>597</v>
      </c>
      <c r="D141" s="7">
        <v>46268.8</v>
      </c>
      <c r="E141" t="s">
        <v>47</v>
      </c>
      <c r="F141" t="s">
        <v>34</v>
      </c>
      <c r="G141" t="s">
        <v>35</v>
      </c>
      <c r="I141" t="s">
        <v>48</v>
      </c>
      <c r="J141" t="s">
        <v>49</v>
      </c>
      <c r="K141" s="8">
        <v>10283.84</v>
      </c>
      <c r="L141" s="8">
        <v>10283.84</v>
      </c>
      <c r="M141" s="8">
        <v>11517.9</v>
      </c>
      <c r="N141">
        <v>1</v>
      </c>
      <c r="O141">
        <v>0</v>
      </c>
      <c r="P141" s="8">
        <v>0</v>
      </c>
      <c r="Q141" s="8">
        <v>0</v>
      </c>
      <c r="R141" s="8">
        <v>0</v>
      </c>
      <c r="S141">
        <v>2</v>
      </c>
      <c r="T141">
        <v>2</v>
      </c>
      <c r="U141" t="s">
        <v>80</v>
      </c>
      <c r="V141" t="s">
        <v>598</v>
      </c>
      <c r="W141" t="s">
        <v>599</v>
      </c>
      <c r="X141" t="s">
        <v>339</v>
      </c>
      <c r="Y141">
        <v>73</v>
      </c>
      <c r="Z141" t="s">
        <v>42</v>
      </c>
      <c r="AA141" t="s">
        <v>600</v>
      </c>
      <c r="AB141" t="s">
        <v>44</v>
      </c>
    </row>
    <row r="142" spans="1:28" ht="20" customHeight="1">
      <c r="A142" t="s">
        <v>334</v>
      </c>
      <c r="B142" t="s">
        <v>335</v>
      </c>
      <c r="C142" t="s">
        <v>601</v>
      </c>
      <c r="D142" s="7">
        <v>46268.90347222222</v>
      </c>
      <c r="E142" t="s">
        <v>47</v>
      </c>
      <c r="F142" t="s">
        <v>34</v>
      </c>
      <c r="G142" t="s">
        <v>35</v>
      </c>
      <c r="H142" t="s">
        <v>35</v>
      </c>
      <c r="I142" t="s">
        <v>48</v>
      </c>
      <c r="J142" t="s">
        <v>49</v>
      </c>
      <c r="K142" s="8">
        <v>17383.93</v>
      </c>
      <c r="L142" s="8">
        <v>17383.93</v>
      </c>
      <c r="M142" s="8">
        <v>19470</v>
      </c>
      <c r="N142">
        <v>1</v>
      </c>
      <c r="O142">
        <v>0</v>
      </c>
      <c r="P142" s="8">
        <v>0</v>
      </c>
      <c r="Q142" s="8">
        <v>0</v>
      </c>
      <c r="R142" s="8">
        <v>0</v>
      </c>
      <c r="S142">
        <v>2</v>
      </c>
      <c r="T142">
        <v>1</v>
      </c>
      <c r="U142" t="s">
        <v>50</v>
      </c>
      <c r="V142" t="s">
        <v>602</v>
      </c>
      <c r="W142" t="s">
        <v>603</v>
      </c>
      <c r="X142" t="s">
        <v>339</v>
      </c>
      <c r="Y142">
        <v>74</v>
      </c>
      <c r="Z142" t="s">
        <v>42</v>
      </c>
      <c r="AA142" t="s">
        <v>604</v>
      </c>
      <c r="AB142" t="s">
        <v>44</v>
      </c>
    </row>
    <row r="143" spans="1:28" ht="20" customHeight="1">
      <c r="A143" t="s">
        <v>334</v>
      </c>
      <c r="B143" t="s">
        <v>335</v>
      </c>
      <c r="C143" t="s">
        <v>605</v>
      </c>
      <c r="D143" s="7"/>
      <c r="E143" t="s">
        <v>200</v>
      </c>
      <c r="F143" t="s">
        <v>569</v>
      </c>
      <c r="G143" t="s">
        <v>570</v>
      </c>
      <c r="H143" t="s">
        <v>570</v>
      </c>
      <c r="I143" t="s">
        <v>570</v>
      </c>
      <c r="J143" t="s">
        <v>570</v>
      </c>
      <c r="K143" s="8"/>
      <c r="L143" s="8"/>
      <c r="M143" s="8"/>
      <c r="N143">
        <v>0</v>
      </c>
      <c r="O143">
        <v>0</v>
      </c>
      <c r="P143" s="8"/>
      <c r="Q143" s="8"/>
      <c r="R143" s="8"/>
      <c r="S143">
        <v>2</v>
      </c>
      <c r="W143" t="s">
        <v>606</v>
      </c>
      <c r="X143" t="s">
        <v>339</v>
      </c>
      <c r="Y143">
        <v>75</v>
      </c>
      <c r="AB143" t="s">
        <v>570</v>
      </c>
    </row>
    <row r="144" spans="1:28" ht="20" customHeight="1">
      <c r="A144" t="s">
        <v>334</v>
      </c>
      <c r="B144" t="s">
        <v>335</v>
      </c>
      <c r="C144" t="s">
        <v>607</v>
      </c>
      <c r="D144" s="7">
        <v>46269.5875</v>
      </c>
      <c r="E144" t="s">
        <v>47</v>
      </c>
      <c r="F144" t="s">
        <v>34</v>
      </c>
      <c r="G144" t="s">
        <v>35</v>
      </c>
      <c r="H144" t="s">
        <v>35</v>
      </c>
      <c r="I144" t="s">
        <v>48</v>
      </c>
      <c r="J144" t="s">
        <v>69</v>
      </c>
      <c r="K144" s="8">
        <v>13155</v>
      </c>
      <c r="L144" s="8">
        <v>13155</v>
      </c>
      <c r="M144" s="8">
        <v>14733.6</v>
      </c>
      <c r="N144">
        <v>1</v>
      </c>
      <c r="O144">
        <v>0</v>
      </c>
      <c r="P144" s="8">
        <v>0</v>
      </c>
      <c r="Q144" s="8">
        <v>0</v>
      </c>
      <c r="R144" s="8">
        <v>0</v>
      </c>
      <c r="S144">
        <v>2</v>
      </c>
      <c r="T144">
        <v>4</v>
      </c>
      <c r="U144" t="s">
        <v>80</v>
      </c>
      <c r="V144" t="s">
        <v>608</v>
      </c>
      <c r="W144" t="s">
        <v>609</v>
      </c>
      <c r="X144" t="s">
        <v>339</v>
      </c>
      <c r="Y144">
        <v>76</v>
      </c>
      <c r="Z144" t="s">
        <v>42</v>
      </c>
      <c r="AA144" t="s">
        <v>610</v>
      </c>
      <c r="AB144" t="s">
        <v>44</v>
      </c>
    </row>
    <row r="145" spans="1:28" ht="20" customHeight="1">
      <c r="A145" t="s">
        <v>334</v>
      </c>
      <c r="B145" t="s">
        <v>340</v>
      </c>
      <c r="C145" t="s">
        <v>611</v>
      </c>
      <c r="D145" s="7">
        <v>46269.63402777778</v>
      </c>
      <c r="E145" t="s">
        <v>47</v>
      </c>
      <c r="F145" t="s">
        <v>34</v>
      </c>
      <c r="G145" t="s">
        <v>35</v>
      </c>
      <c r="H145" t="s">
        <v>35</v>
      </c>
      <c r="I145" t="s">
        <v>36</v>
      </c>
      <c r="J145" t="s">
        <v>37</v>
      </c>
      <c r="K145" s="8">
        <v>35799.11</v>
      </c>
      <c r="L145" s="8">
        <v>0</v>
      </c>
      <c r="M145" s="8">
        <v>40095</v>
      </c>
      <c r="N145">
        <v>0</v>
      </c>
      <c r="O145">
        <v>0</v>
      </c>
      <c r="P145" s="8">
        <v>35799.11</v>
      </c>
      <c r="Q145" s="8">
        <v>0</v>
      </c>
      <c r="R145" s="8">
        <v>0</v>
      </c>
      <c r="S145">
        <v>2</v>
      </c>
      <c r="T145">
        <v>4</v>
      </c>
      <c r="U145" t="s">
        <v>50</v>
      </c>
      <c r="V145" t="s">
        <v>612</v>
      </c>
      <c r="W145" t="s">
        <v>613</v>
      </c>
      <c r="X145" t="s">
        <v>339</v>
      </c>
      <c r="Y145">
        <v>77</v>
      </c>
      <c r="Z145" t="s">
        <v>42</v>
      </c>
      <c r="AA145" t="s">
        <v>614</v>
      </c>
      <c r="AB145" t="s">
        <v>44</v>
      </c>
    </row>
    <row r="146" spans="1:28" ht="20" customHeight="1">
      <c r="A146" t="s">
        <v>334</v>
      </c>
      <c r="B146" t="s">
        <v>340</v>
      </c>
      <c r="C146" t="s">
        <v>615</v>
      </c>
      <c r="D146" s="7">
        <v>46269.97013888889</v>
      </c>
      <c r="E146" t="s">
        <v>47</v>
      </c>
      <c r="F146" t="s">
        <v>34</v>
      </c>
      <c r="G146" t="s">
        <v>35</v>
      </c>
      <c r="I146" t="s">
        <v>48</v>
      </c>
      <c r="J146" t="s">
        <v>49</v>
      </c>
      <c r="K146" s="8">
        <v>7545</v>
      </c>
      <c r="L146" s="8">
        <v>7545</v>
      </c>
      <c r="M146" s="8">
        <v>8450.4</v>
      </c>
      <c r="N146">
        <v>1</v>
      </c>
      <c r="O146">
        <v>0</v>
      </c>
      <c r="P146" s="8">
        <v>0</v>
      </c>
      <c r="Q146" s="8">
        <v>0</v>
      </c>
      <c r="R146" s="8">
        <v>0</v>
      </c>
      <c r="S146">
        <v>2</v>
      </c>
      <c r="T146">
        <v>2</v>
      </c>
      <c r="U146" t="s">
        <v>38</v>
      </c>
      <c r="V146" t="s">
        <v>329</v>
      </c>
      <c r="W146" t="s">
        <v>616</v>
      </c>
      <c r="X146" t="s">
        <v>339</v>
      </c>
      <c r="Y146">
        <v>78</v>
      </c>
      <c r="Z146" t="s">
        <v>42</v>
      </c>
      <c r="AA146" t="s">
        <v>617</v>
      </c>
      <c r="AB146" t="s">
        <v>44</v>
      </c>
    </row>
    <row r="147" spans="1:28" ht="20" customHeight="1">
      <c r="A147" t="s">
        <v>334</v>
      </c>
      <c r="B147" t="s">
        <v>340</v>
      </c>
      <c r="C147" t="s">
        <v>618</v>
      </c>
      <c r="D147" s="7">
        <v>46269.98958333334</v>
      </c>
      <c r="E147" t="s">
        <v>47</v>
      </c>
      <c r="F147" t="s">
        <v>34</v>
      </c>
      <c r="G147" t="s">
        <v>35</v>
      </c>
      <c r="I147" t="s">
        <v>48</v>
      </c>
      <c r="J147" t="s">
        <v>49</v>
      </c>
      <c r="K147" s="8">
        <v>9370.540000000001</v>
      </c>
      <c r="L147" s="8">
        <v>9370.540000000001</v>
      </c>
      <c r="M147" s="8">
        <v>10495</v>
      </c>
      <c r="N147">
        <v>1</v>
      </c>
      <c r="O147">
        <v>0</v>
      </c>
      <c r="P147" s="8">
        <v>0</v>
      </c>
      <c r="Q147" s="8">
        <v>0</v>
      </c>
      <c r="R147" s="8">
        <v>0</v>
      </c>
      <c r="S147">
        <v>2</v>
      </c>
      <c r="T147">
        <v>4</v>
      </c>
      <c r="U147" t="s">
        <v>294</v>
      </c>
      <c r="V147" t="s">
        <v>295</v>
      </c>
      <c r="W147" t="s">
        <v>619</v>
      </c>
      <c r="X147" t="s">
        <v>339</v>
      </c>
      <c r="Y147">
        <v>79</v>
      </c>
      <c r="Z147" t="s">
        <v>42</v>
      </c>
      <c r="AA147" t="s">
        <v>617</v>
      </c>
      <c r="AB147" t="s">
        <v>44</v>
      </c>
    </row>
    <row r="148" spans="1:28" ht="20" customHeight="1">
      <c r="A148" t="s">
        <v>334</v>
      </c>
      <c r="B148" t="s">
        <v>340</v>
      </c>
      <c r="C148" t="s">
        <v>620</v>
      </c>
      <c r="D148" s="7">
        <v>46270.50902777778</v>
      </c>
      <c r="E148" t="s">
        <v>47</v>
      </c>
      <c r="F148" t="s">
        <v>34</v>
      </c>
      <c r="G148" t="s">
        <v>35</v>
      </c>
      <c r="H148" t="s">
        <v>63</v>
      </c>
      <c r="I148" t="s">
        <v>48</v>
      </c>
      <c r="J148" t="s">
        <v>49</v>
      </c>
      <c r="K148" s="8">
        <v>35799.11</v>
      </c>
      <c r="L148" s="8">
        <v>35799.11</v>
      </c>
      <c r="M148" s="8">
        <v>40095</v>
      </c>
      <c r="N148">
        <v>1</v>
      </c>
      <c r="O148">
        <v>0</v>
      </c>
      <c r="P148" s="8">
        <v>0</v>
      </c>
      <c r="Q148" s="8">
        <v>0</v>
      </c>
      <c r="R148" s="8">
        <v>0</v>
      </c>
      <c r="S148">
        <v>2</v>
      </c>
      <c r="T148">
        <v>4</v>
      </c>
      <c r="U148" t="s">
        <v>50</v>
      </c>
      <c r="V148" t="s">
        <v>612</v>
      </c>
      <c r="W148" t="s">
        <v>621</v>
      </c>
      <c r="X148" t="s">
        <v>339</v>
      </c>
      <c r="Y148">
        <v>80</v>
      </c>
      <c r="Z148" t="s">
        <v>42</v>
      </c>
      <c r="AA148" t="s">
        <v>581</v>
      </c>
      <c r="AB148" t="s">
        <v>44</v>
      </c>
    </row>
    <row r="149" spans="1:28" ht="20" customHeight="1">
      <c r="A149" t="s">
        <v>334</v>
      </c>
      <c r="B149" t="s">
        <v>335</v>
      </c>
      <c r="C149" t="s">
        <v>622</v>
      </c>
      <c r="D149" s="7">
        <v>46271.47777777778</v>
      </c>
      <c r="E149" t="s">
        <v>47</v>
      </c>
      <c r="F149" t="s">
        <v>34</v>
      </c>
      <c r="G149" t="s">
        <v>35</v>
      </c>
      <c r="H149" t="s">
        <v>175</v>
      </c>
      <c r="I149" t="s">
        <v>48</v>
      </c>
      <c r="J149" t="s">
        <v>49</v>
      </c>
      <c r="K149" s="8">
        <v>4982.14</v>
      </c>
      <c r="L149" s="8">
        <v>4982.14</v>
      </c>
      <c r="M149" s="8">
        <v>5580</v>
      </c>
      <c r="N149">
        <v>1</v>
      </c>
      <c r="O149">
        <v>0</v>
      </c>
      <c r="P149" s="8">
        <v>0</v>
      </c>
      <c r="Q149" s="8">
        <v>0</v>
      </c>
      <c r="R149" s="8">
        <v>0</v>
      </c>
      <c r="S149">
        <v>2</v>
      </c>
      <c r="T149">
        <v>1</v>
      </c>
      <c r="U149" t="s">
        <v>127</v>
      </c>
      <c r="V149" t="s">
        <v>623</v>
      </c>
      <c r="W149" t="s">
        <v>624</v>
      </c>
      <c r="X149" t="s">
        <v>339</v>
      </c>
      <c r="Y149">
        <v>81</v>
      </c>
      <c r="Z149" t="s">
        <v>42</v>
      </c>
      <c r="AA149" t="s">
        <v>625</v>
      </c>
      <c r="AB149" t="s">
        <v>44</v>
      </c>
    </row>
    <row r="150" spans="1:28" ht="20" customHeight="1">
      <c r="A150" t="s">
        <v>334</v>
      </c>
      <c r="B150" t="s">
        <v>335</v>
      </c>
      <c r="C150" t="s">
        <v>626</v>
      </c>
      <c r="D150" s="7">
        <v>46271.53888888889</v>
      </c>
      <c r="E150" t="s">
        <v>47</v>
      </c>
      <c r="F150" t="s">
        <v>34</v>
      </c>
      <c r="G150" t="s">
        <v>35</v>
      </c>
      <c r="I150" t="s">
        <v>36</v>
      </c>
      <c r="J150" t="s">
        <v>37</v>
      </c>
      <c r="K150" s="8">
        <v>9180.360000000001</v>
      </c>
      <c r="L150" s="8">
        <v>0</v>
      </c>
      <c r="M150" s="8">
        <v>10282</v>
      </c>
      <c r="N150">
        <v>0</v>
      </c>
      <c r="O150">
        <v>0</v>
      </c>
      <c r="P150" s="8">
        <v>9180.360000000001</v>
      </c>
      <c r="Q150" s="8">
        <v>0</v>
      </c>
      <c r="R150" s="8">
        <v>0</v>
      </c>
      <c r="S150">
        <v>2</v>
      </c>
      <c r="T150">
        <v>4</v>
      </c>
      <c r="U150" t="s">
        <v>234</v>
      </c>
      <c r="V150" t="s">
        <v>479</v>
      </c>
      <c r="W150" t="s">
        <v>627</v>
      </c>
      <c r="X150" t="s">
        <v>339</v>
      </c>
      <c r="Y150">
        <v>82</v>
      </c>
      <c r="Z150" t="s">
        <v>42</v>
      </c>
      <c r="AA150" t="s">
        <v>628</v>
      </c>
      <c r="AB150" t="s">
        <v>44</v>
      </c>
    </row>
    <row r="151" spans="1:28" ht="20" customHeight="1">
      <c r="A151" t="s">
        <v>334</v>
      </c>
      <c r="B151" t="s">
        <v>335</v>
      </c>
      <c r="C151" t="s">
        <v>629</v>
      </c>
      <c r="D151" s="7">
        <v>46271.79513888889</v>
      </c>
      <c r="E151" t="s">
        <v>47</v>
      </c>
      <c r="F151" t="s">
        <v>34</v>
      </c>
      <c r="G151" t="s">
        <v>35</v>
      </c>
      <c r="I151" t="s">
        <v>48</v>
      </c>
      <c r="J151" t="s">
        <v>49</v>
      </c>
      <c r="K151" s="8">
        <v>9212.32</v>
      </c>
      <c r="L151" s="8">
        <v>9212.32</v>
      </c>
      <c r="M151" s="8">
        <v>10317.8</v>
      </c>
      <c r="N151">
        <v>1</v>
      </c>
      <c r="O151">
        <v>0</v>
      </c>
      <c r="P151" s="8">
        <v>0</v>
      </c>
      <c r="Q151" s="8">
        <v>0</v>
      </c>
      <c r="R151" s="8">
        <v>0</v>
      </c>
      <c r="S151">
        <v>2</v>
      </c>
      <c r="T151">
        <v>4</v>
      </c>
      <c r="U151" t="s">
        <v>289</v>
      </c>
      <c r="V151" t="s">
        <v>630</v>
      </c>
      <c r="W151" t="s">
        <v>631</v>
      </c>
      <c r="X151" t="s">
        <v>339</v>
      </c>
      <c r="Y151">
        <v>83</v>
      </c>
      <c r="Z151" t="s">
        <v>42</v>
      </c>
      <c r="AA151" t="s">
        <v>632</v>
      </c>
      <c r="AB151" t="s">
        <v>44</v>
      </c>
    </row>
    <row r="152" spans="1:28" ht="20" customHeight="1">
      <c r="A152" t="s">
        <v>334</v>
      </c>
      <c r="B152" t="s">
        <v>340</v>
      </c>
      <c r="C152" t="s">
        <v>633</v>
      </c>
      <c r="D152" s="7">
        <v>46272.39930555555</v>
      </c>
      <c r="E152" t="s">
        <v>47</v>
      </c>
      <c r="F152" t="s">
        <v>34</v>
      </c>
      <c r="G152" t="s">
        <v>342</v>
      </c>
      <c r="H152" t="s">
        <v>175</v>
      </c>
      <c r="I152" t="s">
        <v>48</v>
      </c>
      <c r="J152" t="s">
        <v>49</v>
      </c>
      <c r="K152" s="8">
        <v>19899.11</v>
      </c>
      <c r="L152" s="8">
        <v>19899.11</v>
      </c>
      <c r="M152" s="8">
        <v>22287</v>
      </c>
      <c r="N152">
        <v>1</v>
      </c>
      <c r="O152">
        <v>0</v>
      </c>
      <c r="P152" s="8">
        <v>0</v>
      </c>
      <c r="Q152" s="8">
        <v>0</v>
      </c>
      <c r="R152" s="8">
        <v>0</v>
      </c>
      <c r="S152">
        <v>2</v>
      </c>
      <c r="T152">
        <v>4</v>
      </c>
      <c r="U152" t="s">
        <v>80</v>
      </c>
      <c r="V152" t="s">
        <v>634</v>
      </c>
      <c r="W152" t="s">
        <v>635</v>
      </c>
      <c r="X152" t="s">
        <v>339</v>
      </c>
      <c r="Y152">
        <v>84</v>
      </c>
      <c r="Z152" t="s">
        <v>42</v>
      </c>
      <c r="AA152" t="s">
        <v>636</v>
      </c>
      <c r="AB152" t="s">
        <v>44</v>
      </c>
    </row>
    <row r="153" spans="1:28" ht="20" customHeight="1">
      <c r="A153" t="s">
        <v>334</v>
      </c>
      <c r="B153" t="s">
        <v>335</v>
      </c>
      <c r="C153" t="s">
        <v>637</v>
      </c>
      <c r="D153" s="7">
        <v>46272.45555555556</v>
      </c>
      <c r="E153" t="s">
        <v>47</v>
      </c>
      <c r="F153" t="s">
        <v>34</v>
      </c>
      <c r="G153" t="s">
        <v>35</v>
      </c>
      <c r="I153" t="s">
        <v>36</v>
      </c>
      <c r="J153" t="s">
        <v>37</v>
      </c>
      <c r="K153" s="8">
        <v>35799.11</v>
      </c>
      <c r="L153" s="8">
        <v>0</v>
      </c>
      <c r="M153" s="8">
        <v>40095</v>
      </c>
      <c r="N153">
        <v>0</v>
      </c>
      <c r="O153">
        <v>0</v>
      </c>
      <c r="P153" s="8">
        <v>35799.11</v>
      </c>
      <c r="Q153" s="8">
        <v>0</v>
      </c>
      <c r="R153" s="8">
        <v>0</v>
      </c>
      <c r="S153">
        <v>2</v>
      </c>
      <c r="T153">
        <v>4</v>
      </c>
      <c r="U153" t="s">
        <v>50</v>
      </c>
      <c r="V153" t="s">
        <v>612</v>
      </c>
      <c r="W153" t="s">
        <v>638</v>
      </c>
      <c r="X153" t="s">
        <v>339</v>
      </c>
      <c r="Y153">
        <v>85</v>
      </c>
      <c r="Z153" t="s">
        <v>42</v>
      </c>
      <c r="AA153" t="s">
        <v>628</v>
      </c>
      <c r="AB153" t="s">
        <v>44</v>
      </c>
    </row>
    <row r="154" spans="1:28" ht="20" customHeight="1">
      <c r="A154" t="s">
        <v>334</v>
      </c>
      <c r="B154" t="s">
        <v>335</v>
      </c>
      <c r="C154" t="s">
        <v>639</v>
      </c>
      <c r="D154" s="7">
        <v>46272.46666666667</v>
      </c>
      <c r="E154" t="s">
        <v>47</v>
      </c>
      <c r="F154" t="s">
        <v>34</v>
      </c>
      <c r="G154" t="s">
        <v>35</v>
      </c>
      <c r="H154" t="s">
        <v>35</v>
      </c>
      <c r="I154" t="s">
        <v>48</v>
      </c>
      <c r="J154" t="s">
        <v>49</v>
      </c>
      <c r="K154" s="8">
        <v>9598.209999999999</v>
      </c>
      <c r="L154" s="8">
        <v>9598.209999999999</v>
      </c>
      <c r="M154" s="8">
        <v>10750</v>
      </c>
      <c r="N154">
        <v>1</v>
      </c>
      <c r="O154">
        <v>0</v>
      </c>
      <c r="P154" s="8">
        <v>0</v>
      </c>
      <c r="Q154" s="8">
        <v>0</v>
      </c>
      <c r="R154" s="8">
        <v>0</v>
      </c>
      <c r="S154">
        <v>2</v>
      </c>
      <c r="T154">
        <v>1</v>
      </c>
      <c r="U154" t="s">
        <v>127</v>
      </c>
      <c r="V154" t="s">
        <v>640</v>
      </c>
      <c r="W154" t="s">
        <v>641</v>
      </c>
      <c r="X154" t="s">
        <v>339</v>
      </c>
      <c r="Y154">
        <v>86</v>
      </c>
      <c r="Z154" t="s">
        <v>42</v>
      </c>
      <c r="AA154" t="s">
        <v>642</v>
      </c>
      <c r="AB154" t="s">
        <v>44</v>
      </c>
    </row>
    <row r="155" spans="1:28" ht="20" customHeight="1">
      <c r="A155" t="s">
        <v>334</v>
      </c>
      <c r="B155" t="s">
        <v>335</v>
      </c>
      <c r="C155" t="s">
        <v>643</v>
      </c>
      <c r="D155" s="7">
        <v>46260.62083333333</v>
      </c>
      <c r="E155" t="s">
        <v>200</v>
      </c>
      <c r="F155" t="s">
        <v>201</v>
      </c>
      <c r="G155" t="s">
        <v>342</v>
      </c>
      <c r="H155" t="s">
        <v>63</v>
      </c>
      <c r="I155" t="s">
        <v>48</v>
      </c>
      <c r="J155" t="s">
        <v>49</v>
      </c>
      <c r="K155" s="8">
        <v>54174.11</v>
      </c>
      <c r="L155" s="8">
        <v>54174.11</v>
      </c>
      <c r="M155" s="8">
        <v>60675</v>
      </c>
      <c r="N155">
        <v>1</v>
      </c>
      <c r="O155">
        <v>0</v>
      </c>
      <c r="P155" s="8">
        <v>0</v>
      </c>
      <c r="Q155" s="8">
        <v>0</v>
      </c>
      <c r="R155" s="8">
        <v>0</v>
      </c>
      <c r="S155">
        <v>2</v>
      </c>
      <c r="T155">
        <v>4</v>
      </c>
      <c r="U155" t="s">
        <v>50</v>
      </c>
      <c r="V155" t="s">
        <v>397</v>
      </c>
      <c r="W155" t="s">
        <v>644</v>
      </c>
      <c r="X155" t="s">
        <v>339</v>
      </c>
      <c r="Y155">
        <v>87</v>
      </c>
      <c r="Z155" t="s">
        <v>42</v>
      </c>
      <c r="AA155" t="s">
        <v>645</v>
      </c>
      <c r="AB155" t="s">
        <v>44</v>
      </c>
    </row>
    <row r="156" spans="1:28" ht="20" customHeight="1">
      <c r="A156" t="s">
        <v>334</v>
      </c>
      <c r="B156" t="s">
        <v>335</v>
      </c>
      <c r="C156" t="s">
        <v>646</v>
      </c>
      <c r="D156" s="7">
        <v>46266.45069444444</v>
      </c>
      <c r="E156" t="s">
        <v>47</v>
      </c>
      <c r="F156" t="s">
        <v>34</v>
      </c>
      <c r="G156" t="s">
        <v>35</v>
      </c>
      <c r="H156" t="s">
        <v>35</v>
      </c>
      <c r="I156" t="s">
        <v>48</v>
      </c>
      <c r="J156" t="s">
        <v>49</v>
      </c>
      <c r="K156" s="8">
        <v>18026.79</v>
      </c>
      <c r="L156" s="8">
        <v>18026.79</v>
      </c>
      <c r="M156" s="8">
        <v>20190</v>
      </c>
      <c r="N156">
        <v>1</v>
      </c>
      <c r="O156">
        <v>0</v>
      </c>
      <c r="P156" s="8">
        <v>0</v>
      </c>
      <c r="Q156" s="8">
        <v>0</v>
      </c>
      <c r="R156" s="8">
        <v>0</v>
      </c>
      <c r="S156">
        <v>2</v>
      </c>
      <c r="T156">
        <v>4</v>
      </c>
      <c r="U156" t="s">
        <v>50</v>
      </c>
      <c r="V156" t="s">
        <v>647</v>
      </c>
      <c r="W156" t="s">
        <v>648</v>
      </c>
      <c r="X156" t="s">
        <v>339</v>
      </c>
      <c r="Y156">
        <v>88</v>
      </c>
      <c r="Z156" t="s">
        <v>42</v>
      </c>
      <c r="AA156" t="s">
        <v>186</v>
      </c>
      <c r="AB156" t="s">
        <v>44</v>
      </c>
    </row>
    <row r="157" spans="1:28" ht="20" customHeight="1">
      <c r="A157" t="s">
        <v>334</v>
      </c>
      <c r="B157" t="s">
        <v>335</v>
      </c>
      <c r="C157" t="s">
        <v>649</v>
      </c>
      <c r="D157" s="7">
        <v>46272.58125</v>
      </c>
      <c r="E157" t="s">
        <v>47</v>
      </c>
      <c r="F157" t="s">
        <v>34</v>
      </c>
      <c r="G157" t="s">
        <v>35</v>
      </c>
      <c r="H157" t="s">
        <v>63</v>
      </c>
      <c r="I157" t="s">
        <v>48</v>
      </c>
      <c r="J157" t="s">
        <v>49</v>
      </c>
      <c r="K157" s="8">
        <v>68523.57000000001</v>
      </c>
      <c r="L157" s="8">
        <v>68523.57000000001</v>
      </c>
      <c r="M157" s="8">
        <v>76746.39999999999</v>
      </c>
      <c r="N157">
        <v>1</v>
      </c>
      <c r="O157">
        <v>0</v>
      </c>
      <c r="P157" s="8">
        <v>0</v>
      </c>
      <c r="Q157" s="8">
        <v>0</v>
      </c>
      <c r="R157" s="8">
        <v>0</v>
      </c>
      <c r="S157">
        <v>2</v>
      </c>
      <c r="T157">
        <v>4</v>
      </c>
      <c r="U157" t="s">
        <v>80</v>
      </c>
      <c r="V157" t="s">
        <v>650</v>
      </c>
      <c r="W157" t="s">
        <v>651</v>
      </c>
      <c r="X157" t="s">
        <v>339</v>
      </c>
      <c r="Y157">
        <v>89</v>
      </c>
      <c r="Z157" t="s">
        <v>42</v>
      </c>
      <c r="AA157" t="s">
        <v>652</v>
      </c>
      <c r="AB157" t="s">
        <v>44</v>
      </c>
    </row>
    <row r="158" spans="1:28" ht="20" customHeight="1">
      <c r="A158" t="s">
        <v>334</v>
      </c>
      <c r="B158" t="s">
        <v>335</v>
      </c>
      <c r="C158" t="s">
        <v>653</v>
      </c>
      <c r="D158" s="7">
        <v>46272.71041666667</v>
      </c>
      <c r="E158" t="s">
        <v>47</v>
      </c>
      <c r="F158" t="s">
        <v>34</v>
      </c>
      <c r="G158" t="s">
        <v>35</v>
      </c>
      <c r="H158" t="s">
        <v>35</v>
      </c>
      <c r="I158" t="s">
        <v>48</v>
      </c>
      <c r="J158" t="s">
        <v>49</v>
      </c>
      <c r="K158" s="8">
        <v>18318.75</v>
      </c>
      <c r="L158" s="8">
        <v>18318.75</v>
      </c>
      <c r="M158" s="8">
        <v>20517</v>
      </c>
      <c r="N158">
        <v>1</v>
      </c>
      <c r="O158">
        <v>0</v>
      </c>
      <c r="P158" s="8">
        <v>0</v>
      </c>
      <c r="Q158" s="8">
        <v>0</v>
      </c>
      <c r="R158" s="8">
        <v>0</v>
      </c>
      <c r="S158">
        <v>2</v>
      </c>
      <c r="T158">
        <v>4</v>
      </c>
      <c r="U158" t="s">
        <v>80</v>
      </c>
      <c r="V158" t="s">
        <v>266</v>
      </c>
      <c r="W158" t="s">
        <v>654</v>
      </c>
      <c r="X158" t="s">
        <v>339</v>
      </c>
      <c r="Y158">
        <v>90</v>
      </c>
      <c r="Z158" t="s">
        <v>42</v>
      </c>
      <c r="AA158" t="s">
        <v>655</v>
      </c>
      <c r="AB158" t="s">
        <v>44</v>
      </c>
    </row>
    <row r="159" spans="1:28" ht="20" customHeight="1">
      <c r="A159" t="s">
        <v>334</v>
      </c>
      <c r="B159" t="s">
        <v>335</v>
      </c>
      <c r="C159" t="s">
        <v>656</v>
      </c>
      <c r="D159" s="7">
        <v>46273.45625</v>
      </c>
      <c r="E159" t="s">
        <v>56</v>
      </c>
      <c r="F159" t="s">
        <v>34</v>
      </c>
      <c r="G159" t="s">
        <v>342</v>
      </c>
      <c r="H159" t="s">
        <v>175</v>
      </c>
      <c r="I159" t="s">
        <v>48</v>
      </c>
      <c r="J159" t="s">
        <v>49</v>
      </c>
      <c r="K159" s="8">
        <v>32959.82</v>
      </c>
      <c r="L159" s="8">
        <v>32959.82</v>
      </c>
      <c r="M159" s="8">
        <v>36915</v>
      </c>
      <c r="N159">
        <v>1</v>
      </c>
      <c r="O159">
        <v>0</v>
      </c>
      <c r="P159" s="8">
        <v>0</v>
      </c>
      <c r="Q159" s="8">
        <v>0</v>
      </c>
      <c r="R159" s="8">
        <v>0</v>
      </c>
      <c r="S159">
        <v>2</v>
      </c>
      <c r="T159">
        <v>4</v>
      </c>
      <c r="U159" t="s">
        <v>50</v>
      </c>
      <c r="V159" t="s">
        <v>307</v>
      </c>
      <c r="W159" t="s">
        <v>657</v>
      </c>
      <c r="X159" t="s">
        <v>339</v>
      </c>
      <c r="Y159">
        <v>91</v>
      </c>
      <c r="Z159" t="s">
        <v>42</v>
      </c>
      <c r="AA159" t="s">
        <v>658</v>
      </c>
      <c r="AB159" t="s">
        <v>44</v>
      </c>
    </row>
    <row r="160" spans="1:28" ht="20" customHeight="1">
      <c r="A160" t="s">
        <v>334</v>
      </c>
      <c r="B160" t="s">
        <v>335</v>
      </c>
      <c r="C160" t="s">
        <v>659</v>
      </c>
      <c r="D160" s="7">
        <v>46273.48472222222</v>
      </c>
      <c r="E160" t="s">
        <v>56</v>
      </c>
      <c r="F160" t="s">
        <v>34</v>
      </c>
      <c r="G160" t="s">
        <v>35</v>
      </c>
      <c r="I160" t="s">
        <v>48</v>
      </c>
      <c r="J160" t="s">
        <v>49</v>
      </c>
      <c r="K160" s="8">
        <v>34243.04</v>
      </c>
      <c r="L160" s="8">
        <v>34243.04</v>
      </c>
      <c r="M160" s="8">
        <v>38352.2</v>
      </c>
      <c r="N160">
        <v>1</v>
      </c>
      <c r="O160">
        <v>0</v>
      </c>
      <c r="P160" s="8">
        <v>0</v>
      </c>
      <c r="Q160" s="8">
        <v>0</v>
      </c>
      <c r="R160" s="8">
        <v>0</v>
      </c>
      <c r="S160">
        <v>2</v>
      </c>
      <c r="T160">
        <v>4</v>
      </c>
      <c r="U160" t="s">
        <v>38</v>
      </c>
      <c r="V160" t="s">
        <v>660</v>
      </c>
      <c r="W160" t="s">
        <v>661</v>
      </c>
      <c r="X160" t="s">
        <v>339</v>
      </c>
      <c r="Y160">
        <v>92</v>
      </c>
      <c r="Z160" t="s">
        <v>42</v>
      </c>
      <c r="AA160" t="s">
        <v>662</v>
      </c>
      <c r="AB160" t="s">
        <v>44</v>
      </c>
    </row>
    <row r="161" spans="1:28" ht="20" customHeight="1">
      <c r="A161" t="s">
        <v>334</v>
      </c>
      <c r="B161" t="s">
        <v>340</v>
      </c>
      <c r="C161" t="s">
        <v>663</v>
      </c>
      <c r="D161" s="7">
        <v>46273.57986111111</v>
      </c>
      <c r="E161" t="s">
        <v>56</v>
      </c>
      <c r="F161" t="s">
        <v>34</v>
      </c>
      <c r="G161" t="s">
        <v>35</v>
      </c>
      <c r="I161" t="s">
        <v>36</v>
      </c>
      <c r="J161" t="s">
        <v>37</v>
      </c>
      <c r="K161" s="8">
        <v>12055.71</v>
      </c>
      <c r="L161" s="8">
        <v>0</v>
      </c>
      <c r="M161" s="8">
        <v>13502.4</v>
      </c>
      <c r="N161">
        <v>0</v>
      </c>
      <c r="O161">
        <v>0</v>
      </c>
      <c r="P161" s="8">
        <v>12055.71</v>
      </c>
      <c r="Q161" s="8">
        <v>0</v>
      </c>
      <c r="R161" s="8">
        <v>0</v>
      </c>
      <c r="S161">
        <v>2</v>
      </c>
      <c r="T161">
        <v>4</v>
      </c>
      <c r="U161" t="s">
        <v>101</v>
      </c>
      <c r="V161" t="s">
        <v>368</v>
      </c>
      <c r="W161" t="s">
        <v>664</v>
      </c>
      <c r="X161" t="s">
        <v>339</v>
      </c>
      <c r="Y161">
        <v>93</v>
      </c>
      <c r="Z161" t="s">
        <v>42</v>
      </c>
      <c r="AA161" t="s">
        <v>665</v>
      </c>
      <c r="AB161" t="s">
        <v>44</v>
      </c>
    </row>
    <row r="162" spans="1:28" ht="20" customHeight="1">
      <c r="A162" t="s">
        <v>334</v>
      </c>
      <c r="B162" t="s">
        <v>340</v>
      </c>
      <c r="C162" t="s">
        <v>666</v>
      </c>
      <c r="D162" s="7">
        <v>46273.65416666667</v>
      </c>
      <c r="E162" t="s">
        <v>56</v>
      </c>
      <c r="F162" t="s">
        <v>34</v>
      </c>
      <c r="G162" t="s">
        <v>35</v>
      </c>
      <c r="I162" t="s">
        <v>48</v>
      </c>
      <c r="J162" t="s">
        <v>49</v>
      </c>
      <c r="K162" s="8">
        <v>10840.89</v>
      </c>
      <c r="L162" s="8">
        <v>10840.89</v>
      </c>
      <c r="M162" s="8">
        <v>12141.8</v>
      </c>
      <c r="N162">
        <v>1</v>
      </c>
      <c r="O162">
        <v>0</v>
      </c>
      <c r="P162" s="8">
        <v>0</v>
      </c>
      <c r="Q162" s="8">
        <v>0</v>
      </c>
      <c r="R162" s="8">
        <v>0</v>
      </c>
      <c r="S162">
        <v>2</v>
      </c>
      <c r="T162">
        <v>2</v>
      </c>
      <c r="U162" t="s">
        <v>127</v>
      </c>
      <c r="V162" t="s">
        <v>467</v>
      </c>
      <c r="W162" t="s">
        <v>667</v>
      </c>
      <c r="X162" t="s">
        <v>339</v>
      </c>
      <c r="Y162">
        <v>94</v>
      </c>
      <c r="Z162" t="s">
        <v>42</v>
      </c>
      <c r="AA162" t="s">
        <v>668</v>
      </c>
      <c r="AB162" t="s">
        <v>44</v>
      </c>
    </row>
    <row r="163" spans="1:28" ht="20" customHeight="1">
      <c r="A163" t="s">
        <v>334</v>
      </c>
      <c r="B163" t="s">
        <v>335</v>
      </c>
      <c r="C163" t="s">
        <v>669</v>
      </c>
      <c r="D163" s="7">
        <v>46273.72916666666</v>
      </c>
      <c r="E163" t="s">
        <v>56</v>
      </c>
      <c r="F163" t="s">
        <v>34</v>
      </c>
      <c r="G163" t="s">
        <v>35</v>
      </c>
      <c r="H163" t="s">
        <v>35</v>
      </c>
      <c r="I163" t="s">
        <v>48</v>
      </c>
      <c r="J163" t="s">
        <v>49</v>
      </c>
      <c r="K163" s="8">
        <v>29311.07</v>
      </c>
      <c r="L163" s="8">
        <v>29311.07</v>
      </c>
      <c r="M163" s="8">
        <v>32828.4</v>
      </c>
      <c r="N163">
        <v>1</v>
      </c>
      <c r="O163">
        <v>0</v>
      </c>
      <c r="P163" s="8">
        <v>0</v>
      </c>
      <c r="Q163" s="8">
        <v>0</v>
      </c>
      <c r="R163" s="8">
        <v>0</v>
      </c>
      <c r="S163">
        <v>2</v>
      </c>
      <c r="T163">
        <v>4</v>
      </c>
      <c r="U163" t="s">
        <v>80</v>
      </c>
      <c r="V163" t="s">
        <v>670</v>
      </c>
      <c r="W163" t="s">
        <v>671</v>
      </c>
      <c r="X163" t="s">
        <v>339</v>
      </c>
      <c r="Y163">
        <v>95</v>
      </c>
      <c r="Z163" t="s">
        <v>42</v>
      </c>
      <c r="AA163" t="s">
        <v>672</v>
      </c>
      <c r="AB163" t="s">
        <v>44</v>
      </c>
    </row>
    <row r="164" spans="1:28" ht="20" customHeight="1">
      <c r="A164" t="s">
        <v>334</v>
      </c>
      <c r="B164" t="s">
        <v>340</v>
      </c>
      <c r="C164" t="s">
        <v>673</v>
      </c>
      <c r="D164" s="7">
        <v>46273.73055555556</v>
      </c>
      <c r="E164" t="s">
        <v>56</v>
      </c>
      <c r="F164" t="s">
        <v>34</v>
      </c>
      <c r="G164" t="s">
        <v>35</v>
      </c>
      <c r="I164" t="s">
        <v>48</v>
      </c>
      <c r="J164" t="s">
        <v>49</v>
      </c>
      <c r="K164" s="8">
        <v>21785.71</v>
      </c>
      <c r="L164" s="8">
        <v>21785.71</v>
      </c>
      <c r="M164" s="8">
        <v>24400</v>
      </c>
      <c r="N164">
        <v>1</v>
      </c>
      <c r="O164">
        <v>0</v>
      </c>
      <c r="P164" s="8">
        <v>0</v>
      </c>
      <c r="Q164" s="8">
        <v>0</v>
      </c>
      <c r="R164" s="8">
        <v>0</v>
      </c>
      <c r="S164">
        <v>2</v>
      </c>
      <c r="T164">
        <v>4</v>
      </c>
      <c r="U164" t="s">
        <v>80</v>
      </c>
      <c r="V164" t="s">
        <v>164</v>
      </c>
      <c r="W164" t="s">
        <v>674</v>
      </c>
      <c r="X164" t="s">
        <v>339</v>
      </c>
      <c r="Y164">
        <v>96</v>
      </c>
      <c r="Z164" t="s">
        <v>42</v>
      </c>
      <c r="AA164" t="s">
        <v>675</v>
      </c>
      <c r="AB164" t="s">
        <v>44</v>
      </c>
    </row>
    <row r="165" spans="1:28" ht="20" customHeight="1">
      <c r="A165" t="s">
        <v>334</v>
      </c>
      <c r="B165" t="s">
        <v>335</v>
      </c>
      <c r="C165" t="s">
        <v>676</v>
      </c>
      <c r="D165" s="7">
        <v>46274.36041666667</v>
      </c>
      <c r="E165" t="s">
        <v>56</v>
      </c>
      <c r="F165" t="s">
        <v>34</v>
      </c>
      <c r="G165" t="s">
        <v>35</v>
      </c>
      <c r="I165" t="s">
        <v>36</v>
      </c>
      <c r="J165" t="s">
        <v>37</v>
      </c>
      <c r="K165" s="8">
        <v>13646.07</v>
      </c>
      <c r="L165" s="8">
        <v>0</v>
      </c>
      <c r="M165" s="8">
        <v>15283.6</v>
      </c>
      <c r="N165">
        <v>0</v>
      </c>
      <c r="O165">
        <v>0</v>
      </c>
      <c r="P165" s="8">
        <v>13646.07</v>
      </c>
      <c r="Q165" s="8">
        <v>0</v>
      </c>
      <c r="R165" s="8">
        <v>0</v>
      </c>
      <c r="S165">
        <v>2</v>
      </c>
      <c r="T165">
        <v>4</v>
      </c>
      <c r="U165" t="s">
        <v>80</v>
      </c>
      <c r="V165" t="s">
        <v>608</v>
      </c>
      <c r="W165" t="s">
        <v>677</v>
      </c>
      <c r="X165" t="s">
        <v>339</v>
      </c>
      <c r="Y165">
        <v>97</v>
      </c>
      <c r="Z165" t="s">
        <v>42</v>
      </c>
      <c r="AA165" t="s">
        <v>678</v>
      </c>
      <c r="AB165" t="s">
        <v>44</v>
      </c>
    </row>
    <row r="166" spans="1:28" ht="20" customHeight="1">
      <c r="A166" t="s">
        <v>334</v>
      </c>
      <c r="B166" t="s">
        <v>335</v>
      </c>
      <c r="C166" t="s">
        <v>679</v>
      </c>
      <c r="D166" s="7">
        <v>46274.3625</v>
      </c>
      <c r="E166" t="s">
        <v>56</v>
      </c>
      <c r="F166" t="s">
        <v>34</v>
      </c>
      <c r="G166" t="s">
        <v>35</v>
      </c>
      <c r="I166" t="s">
        <v>36</v>
      </c>
      <c r="J166" t="s">
        <v>37</v>
      </c>
      <c r="K166" s="8">
        <v>13646.07</v>
      </c>
      <c r="L166" s="8">
        <v>0</v>
      </c>
      <c r="M166" s="8">
        <v>15283.6</v>
      </c>
      <c r="N166">
        <v>0</v>
      </c>
      <c r="O166">
        <v>0</v>
      </c>
      <c r="P166" s="8">
        <v>13646.07</v>
      </c>
      <c r="Q166" s="8">
        <v>0</v>
      </c>
      <c r="R166" s="8">
        <v>0</v>
      </c>
      <c r="S166">
        <v>2</v>
      </c>
      <c r="T166">
        <v>4</v>
      </c>
      <c r="U166" t="s">
        <v>80</v>
      </c>
      <c r="V166" t="s">
        <v>608</v>
      </c>
      <c r="W166" t="s">
        <v>680</v>
      </c>
      <c r="X166" t="s">
        <v>339</v>
      </c>
      <c r="Y166">
        <v>98</v>
      </c>
      <c r="Z166" t="s">
        <v>42</v>
      </c>
      <c r="AA166" t="s">
        <v>678</v>
      </c>
      <c r="AB166" t="s">
        <v>44</v>
      </c>
    </row>
    <row r="167" spans="1:28" ht="20" customHeight="1">
      <c r="A167" t="s">
        <v>334</v>
      </c>
      <c r="B167" t="s">
        <v>335</v>
      </c>
      <c r="C167" t="s">
        <v>681</v>
      </c>
      <c r="D167" s="7">
        <v>46274.64375</v>
      </c>
      <c r="E167" t="s">
        <v>56</v>
      </c>
      <c r="F167" t="s">
        <v>34</v>
      </c>
      <c r="G167" t="s">
        <v>35</v>
      </c>
      <c r="H167" t="s">
        <v>35</v>
      </c>
      <c r="I167" t="s">
        <v>48</v>
      </c>
      <c r="J167" t="s">
        <v>49</v>
      </c>
      <c r="K167" s="8">
        <v>19991.07</v>
      </c>
      <c r="L167" s="8">
        <v>19991.07</v>
      </c>
      <c r="M167" s="8">
        <v>22390</v>
      </c>
      <c r="N167">
        <v>1</v>
      </c>
      <c r="O167">
        <v>0</v>
      </c>
      <c r="P167" s="8">
        <v>0</v>
      </c>
      <c r="Q167" s="8">
        <v>0</v>
      </c>
      <c r="R167" s="8">
        <v>0</v>
      </c>
      <c r="S167">
        <v>2</v>
      </c>
      <c r="T167">
        <v>2</v>
      </c>
      <c r="U167" t="s">
        <v>50</v>
      </c>
      <c r="V167" t="s">
        <v>682</v>
      </c>
      <c r="W167" t="s">
        <v>683</v>
      </c>
      <c r="X167" t="s">
        <v>339</v>
      </c>
      <c r="Y167">
        <v>99</v>
      </c>
      <c r="Z167" t="s">
        <v>42</v>
      </c>
      <c r="AA167" t="s">
        <v>684</v>
      </c>
      <c r="AB167" t="s">
        <v>44</v>
      </c>
    </row>
    <row r="168" spans="1:28" ht="20" customHeight="1">
      <c r="A168" t="s">
        <v>334</v>
      </c>
      <c r="B168" t="s">
        <v>340</v>
      </c>
      <c r="C168" t="s">
        <v>685</v>
      </c>
      <c r="D168" s="7">
        <v>46274.65694444445</v>
      </c>
      <c r="E168" t="s">
        <v>56</v>
      </c>
      <c r="F168" t="s">
        <v>34</v>
      </c>
      <c r="G168" t="s">
        <v>35</v>
      </c>
      <c r="H168" t="s">
        <v>35</v>
      </c>
      <c r="I168" t="s">
        <v>48</v>
      </c>
      <c r="J168" t="s">
        <v>49</v>
      </c>
      <c r="K168" s="8">
        <v>6300.63</v>
      </c>
      <c r="L168" s="8">
        <v>6300.63</v>
      </c>
      <c r="M168" s="8">
        <v>7056.7</v>
      </c>
      <c r="N168">
        <v>1</v>
      </c>
      <c r="O168">
        <v>0</v>
      </c>
      <c r="P168" s="8">
        <v>0</v>
      </c>
      <c r="Q168" s="8">
        <v>0</v>
      </c>
      <c r="R168" s="8">
        <v>0</v>
      </c>
      <c r="S168">
        <v>2</v>
      </c>
      <c r="T168">
        <v>2</v>
      </c>
      <c r="U168" t="s">
        <v>75</v>
      </c>
      <c r="V168" t="s">
        <v>389</v>
      </c>
      <c r="W168" t="s">
        <v>686</v>
      </c>
      <c r="X168" t="s">
        <v>339</v>
      </c>
      <c r="Y168">
        <v>100</v>
      </c>
      <c r="Z168" t="s">
        <v>42</v>
      </c>
      <c r="AA168" t="s">
        <v>687</v>
      </c>
      <c r="AB168" t="s">
        <v>44</v>
      </c>
    </row>
    <row r="169" spans="1:28" ht="20" customHeight="1">
      <c r="A169" t="s">
        <v>334</v>
      </c>
      <c r="B169" t="s">
        <v>340</v>
      </c>
      <c r="C169" t="s">
        <v>688</v>
      </c>
      <c r="D169" s="7">
        <v>46274.66875</v>
      </c>
      <c r="E169" t="s">
        <v>56</v>
      </c>
      <c r="F169" t="s">
        <v>34</v>
      </c>
      <c r="G169" t="s">
        <v>35</v>
      </c>
      <c r="H169" t="s">
        <v>35</v>
      </c>
      <c r="I169" t="s">
        <v>48</v>
      </c>
      <c r="J169" t="s">
        <v>49</v>
      </c>
      <c r="K169" s="8">
        <v>7554.73</v>
      </c>
      <c r="L169" s="8">
        <v>7554.73</v>
      </c>
      <c r="M169" s="8">
        <v>8461.299999999999</v>
      </c>
      <c r="N169">
        <v>1</v>
      </c>
      <c r="O169">
        <v>0</v>
      </c>
      <c r="P169" s="8">
        <v>0</v>
      </c>
      <c r="Q169" s="8">
        <v>0</v>
      </c>
      <c r="R169" s="8">
        <v>0</v>
      </c>
      <c r="S169">
        <v>2</v>
      </c>
      <c r="T169">
        <v>2</v>
      </c>
      <c r="U169" t="s">
        <v>38</v>
      </c>
      <c r="V169" t="s">
        <v>689</v>
      </c>
      <c r="W169" t="s">
        <v>690</v>
      </c>
      <c r="X169" t="s">
        <v>339</v>
      </c>
      <c r="Y169">
        <v>101</v>
      </c>
      <c r="Z169" t="s">
        <v>42</v>
      </c>
      <c r="AA169" t="s">
        <v>691</v>
      </c>
      <c r="AB169" t="s">
        <v>44</v>
      </c>
    </row>
    <row r="170" spans="1:28" ht="20" customHeight="1">
      <c r="A170" t="s">
        <v>334</v>
      </c>
      <c r="B170" t="s">
        <v>340</v>
      </c>
      <c r="C170" t="s">
        <v>692</v>
      </c>
      <c r="D170" s="7">
        <v>46274.79861111111</v>
      </c>
      <c r="E170" t="s">
        <v>56</v>
      </c>
      <c r="F170" t="s">
        <v>34</v>
      </c>
      <c r="G170" t="s">
        <v>35</v>
      </c>
      <c r="I170" t="s">
        <v>48</v>
      </c>
      <c r="J170" t="s">
        <v>49</v>
      </c>
      <c r="K170" s="8">
        <v>21848.21</v>
      </c>
      <c r="L170" s="8">
        <v>21848.21</v>
      </c>
      <c r="M170" s="8">
        <v>24470</v>
      </c>
      <c r="N170">
        <v>1</v>
      </c>
      <c r="O170">
        <v>0</v>
      </c>
      <c r="P170" s="8">
        <v>0</v>
      </c>
      <c r="Q170" s="8">
        <v>0</v>
      </c>
      <c r="R170" s="8">
        <v>0</v>
      </c>
      <c r="S170">
        <v>2</v>
      </c>
      <c r="T170">
        <v>4</v>
      </c>
      <c r="U170" t="s">
        <v>50</v>
      </c>
      <c r="V170" t="s">
        <v>693</v>
      </c>
      <c r="W170" t="s">
        <v>694</v>
      </c>
      <c r="X170" t="s">
        <v>339</v>
      </c>
      <c r="Y170">
        <v>102</v>
      </c>
      <c r="Z170" t="s">
        <v>42</v>
      </c>
      <c r="AA170" t="s">
        <v>695</v>
      </c>
      <c r="AB170" t="s">
        <v>44</v>
      </c>
    </row>
    <row r="171" spans="1:28" ht="20" customHeight="1">
      <c r="A171" t="s">
        <v>334</v>
      </c>
      <c r="B171" t="s">
        <v>340</v>
      </c>
      <c r="C171" t="s">
        <v>696</v>
      </c>
      <c r="D171" s="7">
        <v>46274.84930555556</v>
      </c>
      <c r="E171" t="s">
        <v>56</v>
      </c>
      <c r="F171" t="s">
        <v>34</v>
      </c>
      <c r="G171" t="s">
        <v>35</v>
      </c>
      <c r="H171" t="s">
        <v>35</v>
      </c>
      <c r="I171" t="s">
        <v>48</v>
      </c>
      <c r="J171" t="s">
        <v>49</v>
      </c>
      <c r="K171" s="8">
        <v>7229.64</v>
      </c>
      <c r="L171" s="8">
        <v>7229.64</v>
      </c>
      <c r="M171" s="8">
        <v>8097.2</v>
      </c>
      <c r="N171">
        <v>1</v>
      </c>
      <c r="O171">
        <v>0</v>
      </c>
      <c r="P171" s="8">
        <v>0</v>
      </c>
      <c r="Q171" s="8">
        <v>0</v>
      </c>
      <c r="R171" s="8">
        <v>0</v>
      </c>
      <c r="S171">
        <v>2</v>
      </c>
      <c r="T171">
        <v>2</v>
      </c>
      <c r="U171" t="s">
        <v>697</v>
      </c>
      <c r="V171" t="s">
        <v>698</v>
      </c>
      <c r="W171" t="s">
        <v>699</v>
      </c>
      <c r="X171" t="s">
        <v>339</v>
      </c>
      <c r="Y171">
        <v>103</v>
      </c>
      <c r="Z171" t="s">
        <v>42</v>
      </c>
      <c r="AA171" t="s">
        <v>700</v>
      </c>
      <c r="AB171" t="s">
        <v>44</v>
      </c>
    </row>
    <row r="172" spans="1:28" ht="20" customHeight="1">
      <c r="A172" t="s">
        <v>334</v>
      </c>
      <c r="B172" t="s">
        <v>340</v>
      </c>
      <c r="C172" t="s">
        <v>701</v>
      </c>
      <c r="D172" s="7">
        <v>46274.90208333333</v>
      </c>
      <c r="E172" t="s">
        <v>56</v>
      </c>
      <c r="F172" t="s">
        <v>34</v>
      </c>
      <c r="G172" t="s">
        <v>35</v>
      </c>
      <c r="I172" t="s">
        <v>48</v>
      </c>
      <c r="J172" t="s">
        <v>49</v>
      </c>
      <c r="K172" s="8">
        <v>21026.79</v>
      </c>
      <c r="L172" s="8">
        <v>21026.79</v>
      </c>
      <c r="M172" s="8">
        <v>23550</v>
      </c>
      <c r="N172">
        <v>1</v>
      </c>
      <c r="O172">
        <v>0</v>
      </c>
      <c r="P172" s="8">
        <v>0</v>
      </c>
      <c r="Q172" s="8">
        <v>0</v>
      </c>
      <c r="R172" s="8">
        <v>0</v>
      </c>
      <c r="S172">
        <v>2</v>
      </c>
      <c r="T172">
        <v>4</v>
      </c>
      <c r="U172" t="s">
        <v>127</v>
      </c>
      <c r="V172" t="s">
        <v>702</v>
      </c>
      <c r="W172" t="s">
        <v>703</v>
      </c>
      <c r="X172" t="s">
        <v>339</v>
      </c>
      <c r="Y172">
        <v>104</v>
      </c>
      <c r="Z172" t="s">
        <v>42</v>
      </c>
      <c r="AA172" t="s">
        <v>704</v>
      </c>
      <c r="AB172" t="s">
        <v>44</v>
      </c>
    </row>
    <row r="173" spans="1:28" ht="20" customHeight="1">
      <c r="A173" t="s">
        <v>334</v>
      </c>
      <c r="B173" t="s">
        <v>335</v>
      </c>
      <c r="C173" t="s">
        <v>705</v>
      </c>
      <c r="D173" s="7">
        <v>46275.63472222222</v>
      </c>
      <c r="E173" t="s">
        <v>56</v>
      </c>
      <c r="F173" t="s">
        <v>34</v>
      </c>
      <c r="G173" t="s">
        <v>35</v>
      </c>
      <c r="H173" t="s">
        <v>175</v>
      </c>
      <c r="I173" t="s">
        <v>48</v>
      </c>
      <c r="J173" t="s">
        <v>49</v>
      </c>
      <c r="K173" s="8">
        <v>15649.29</v>
      </c>
      <c r="L173" s="8">
        <v>15649.29</v>
      </c>
      <c r="M173" s="8">
        <v>17527.2</v>
      </c>
      <c r="N173">
        <v>1</v>
      </c>
      <c r="O173">
        <v>0</v>
      </c>
      <c r="P173" s="8">
        <v>0</v>
      </c>
      <c r="Q173" s="8">
        <v>0</v>
      </c>
      <c r="R173" s="8">
        <v>0</v>
      </c>
      <c r="S173">
        <v>2</v>
      </c>
      <c r="T173">
        <v>4</v>
      </c>
      <c r="U173" t="s">
        <v>80</v>
      </c>
      <c r="V173" t="s">
        <v>461</v>
      </c>
      <c r="W173" t="s">
        <v>706</v>
      </c>
      <c r="X173" t="s">
        <v>339</v>
      </c>
      <c r="Y173">
        <v>105</v>
      </c>
      <c r="Z173" t="s">
        <v>42</v>
      </c>
      <c r="AA173" t="s">
        <v>707</v>
      </c>
      <c r="AB173" t="s">
        <v>44</v>
      </c>
    </row>
    <row r="174" spans="1:28" ht="20" customHeight="1">
      <c r="A174" t="s">
        <v>334</v>
      </c>
      <c r="B174" t="s">
        <v>340</v>
      </c>
      <c r="C174" t="s">
        <v>708</v>
      </c>
      <c r="D174" s="7">
        <v>46275.76597222222</v>
      </c>
      <c r="E174" t="s">
        <v>56</v>
      </c>
      <c r="F174" t="s">
        <v>34</v>
      </c>
      <c r="G174" t="s">
        <v>35</v>
      </c>
      <c r="I174" t="s">
        <v>36</v>
      </c>
      <c r="J174" t="s">
        <v>37</v>
      </c>
      <c r="K174" s="8">
        <v>20398.57</v>
      </c>
      <c r="L174" s="8">
        <v>0</v>
      </c>
      <c r="M174" s="8">
        <v>22846.4</v>
      </c>
      <c r="N174">
        <v>0</v>
      </c>
      <c r="O174">
        <v>0</v>
      </c>
      <c r="P174" s="8">
        <v>20398.57</v>
      </c>
      <c r="Q174" s="8">
        <v>0</v>
      </c>
      <c r="R174" s="8">
        <v>0</v>
      </c>
      <c r="S174">
        <v>2</v>
      </c>
      <c r="T174">
        <v>4</v>
      </c>
      <c r="U174" t="s">
        <v>38</v>
      </c>
      <c r="V174" t="s">
        <v>709</v>
      </c>
      <c r="W174" t="s">
        <v>710</v>
      </c>
      <c r="X174" t="s">
        <v>339</v>
      </c>
      <c r="Y174">
        <v>106</v>
      </c>
      <c r="Z174" t="s">
        <v>42</v>
      </c>
      <c r="AA174" t="s">
        <v>711</v>
      </c>
      <c r="AB174" t="s">
        <v>44</v>
      </c>
    </row>
    <row r="175" spans="1:28" ht="20" customHeight="1">
      <c r="A175" t="s">
        <v>334</v>
      </c>
      <c r="B175" t="s">
        <v>335</v>
      </c>
      <c r="C175" t="s">
        <v>712</v>
      </c>
      <c r="D175" s="7">
        <v>46275.82638888889</v>
      </c>
      <c r="E175" t="s">
        <v>56</v>
      </c>
      <c r="F175" t="s">
        <v>34</v>
      </c>
      <c r="G175" t="s">
        <v>35</v>
      </c>
      <c r="I175" t="s">
        <v>36</v>
      </c>
      <c r="J175" t="s">
        <v>37</v>
      </c>
      <c r="K175" s="8">
        <v>13646.07</v>
      </c>
      <c r="L175" s="8">
        <v>0</v>
      </c>
      <c r="M175" s="8">
        <v>15283.6</v>
      </c>
      <c r="N175">
        <v>0</v>
      </c>
      <c r="O175">
        <v>0</v>
      </c>
      <c r="P175" s="8">
        <v>13646.07</v>
      </c>
      <c r="Q175" s="8">
        <v>0</v>
      </c>
      <c r="R175" s="8">
        <v>0</v>
      </c>
      <c r="S175">
        <v>2</v>
      </c>
      <c r="T175">
        <v>4</v>
      </c>
      <c r="U175" t="s">
        <v>80</v>
      </c>
      <c r="V175" t="s">
        <v>608</v>
      </c>
      <c r="W175" t="s">
        <v>713</v>
      </c>
      <c r="X175" t="s">
        <v>339</v>
      </c>
      <c r="Y175">
        <v>107</v>
      </c>
      <c r="Z175" t="s">
        <v>42</v>
      </c>
      <c r="AA175" t="s">
        <v>714</v>
      </c>
      <c r="AB175" t="s">
        <v>44</v>
      </c>
    </row>
    <row r="176" spans="1:28" ht="20" customHeight="1">
      <c r="A176" t="s">
        <v>334</v>
      </c>
      <c r="B176" t="s">
        <v>340</v>
      </c>
      <c r="C176" t="s">
        <v>715</v>
      </c>
      <c r="D176" s="7">
        <v>46275.93819444445</v>
      </c>
      <c r="E176" t="s">
        <v>56</v>
      </c>
      <c r="F176" t="s">
        <v>34</v>
      </c>
      <c r="G176" t="s">
        <v>35</v>
      </c>
      <c r="I176" t="s">
        <v>48</v>
      </c>
      <c r="J176" t="s">
        <v>49</v>
      </c>
      <c r="K176" s="8">
        <v>18012.32</v>
      </c>
      <c r="L176" s="8">
        <v>18012.32</v>
      </c>
      <c r="M176" s="8">
        <v>20173.8</v>
      </c>
      <c r="N176">
        <v>1</v>
      </c>
      <c r="O176">
        <v>0</v>
      </c>
      <c r="P176" s="8">
        <v>0</v>
      </c>
      <c r="Q176" s="8">
        <v>0</v>
      </c>
      <c r="R176" s="8">
        <v>0</v>
      </c>
      <c r="S176">
        <v>2</v>
      </c>
      <c r="T176">
        <v>4</v>
      </c>
      <c r="U176" t="s">
        <v>80</v>
      </c>
      <c r="V176" t="s">
        <v>716</v>
      </c>
      <c r="W176" t="s">
        <v>717</v>
      </c>
      <c r="X176" t="s">
        <v>339</v>
      </c>
      <c r="Y176">
        <v>108</v>
      </c>
      <c r="Z176" t="s">
        <v>42</v>
      </c>
      <c r="AA176" t="s">
        <v>718</v>
      </c>
      <c r="AB176" t="s">
        <v>44</v>
      </c>
    </row>
    <row r="177" spans="1:28" ht="20" customHeight="1">
      <c r="A177" t="s">
        <v>334</v>
      </c>
      <c r="B177" t="s">
        <v>340</v>
      </c>
      <c r="C177" t="s">
        <v>719</v>
      </c>
      <c r="D177" s="7">
        <v>46275.9875</v>
      </c>
      <c r="E177" t="s">
        <v>56</v>
      </c>
      <c r="F177" t="s">
        <v>34</v>
      </c>
      <c r="G177" t="s">
        <v>35</v>
      </c>
      <c r="H177" t="s">
        <v>35</v>
      </c>
      <c r="I177" t="s">
        <v>48</v>
      </c>
      <c r="J177" t="s">
        <v>49</v>
      </c>
      <c r="K177" s="8">
        <v>20287.32</v>
      </c>
      <c r="L177" s="8">
        <v>20287.32</v>
      </c>
      <c r="M177" s="8">
        <v>22721.8</v>
      </c>
      <c r="N177">
        <v>1</v>
      </c>
      <c r="O177">
        <v>0</v>
      </c>
      <c r="P177" s="8">
        <v>0</v>
      </c>
      <c r="Q177" s="8">
        <v>0</v>
      </c>
      <c r="R177" s="8">
        <v>0</v>
      </c>
      <c r="S177">
        <v>2</v>
      </c>
      <c r="T177">
        <v>4</v>
      </c>
      <c r="U177" t="s">
        <v>75</v>
      </c>
      <c r="V177" t="s">
        <v>720</v>
      </c>
      <c r="W177" t="s">
        <v>721</v>
      </c>
      <c r="X177" t="s">
        <v>339</v>
      </c>
      <c r="Y177">
        <v>109</v>
      </c>
      <c r="Z177" t="s">
        <v>42</v>
      </c>
      <c r="AA177" t="s">
        <v>722</v>
      </c>
      <c r="AB177" t="s">
        <v>44</v>
      </c>
    </row>
    <row r="178" spans="1:28" ht="20" customHeight="1">
      <c r="A178" t="s">
        <v>334</v>
      </c>
      <c r="B178" t="s">
        <v>335</v>
      </c>
      <c r="C178" t="s">
        <v>723</v>
      </c>
      <c r="D178" s="7">
        <v>46276.45347222222</v>
      </c>
      <c r="E178" t="s">
        <v>56</v>
      </c>
      <c r="F178" t="s">
        <v>34</v>
      </c>
      <c r="G178" t="s">
        <v>35</v>
      </c>
      <c r="H178" t="s">
        <v>35</v>
      </c>
      <c r="I178" t="s">
        <v>48</v>
      </c>
      <c r="J178" t="s">
        <v>49</v>
      </c>
      <c r="K178" s="8">
        <v>10831.16</v>
      </c>
      <c r="L178" s="8">
        <v>10831.16</v>
      </c>
      <c r="M178" s="8">
        <v>12130.9</v>
      </c>
      <c r="N178">
        <v>1</v>
      </c>
      <c r="O178">
        <v>0</v>
      </c>
      <c r="P178" s="8">
        <v>0</v>
      </c>
      <c r="Q178" s="8">
        <v>0</v>
      </c>
      <c r="R178" s="8">
        <v>0</v>
      </c>
      <c r="S178">
        <v>2</v>
      </c>
      <c r="T178">
        <v>2</v>
      </c>
      <c r="U178" t="s">
        <v>299</v>
      </c>
      <c r="V178" t="s">
        <v>724</v>
      </c>
      <c r="W178" t="s">
        <v>725</v>
      </c>
      <c r="X178" t="s">
        <v>339</v>
      </c>
      <c r="Y178">
        <v>110</v>
      </c>
      <c r="Z178" t="s">
        <v>42</v>
      </c>
      <c r="AA178" t="s">
        <v>726</v>
      </c>
      <c r="AB178" t="s">
        <v>44</v>
      </c>
    </row>
    <row r="179" spans="1:28" ht="20" customHeight="1">
      <c r="A179" t="s">
        <v>334</v>
      </c>
      <c r="B179" t="s">
        <v>335</v>
      </c>
      <c r="C179" t="s">
        <v>727</v>
      </c>
      <c r="D179" s="7">
        <v>46272.54652777778</v>
      </c>
      <c r="E179" t="s">
        <v>47</v>
      </c>
      <c r="F179" t="s">
        <v>34</v>
      </c>
      <c r="G179" t="s">
        <v>35</v>
      </c>
      <c r="H179" t="s">
        <v>175</v>
      </c>
      <c r="I179" t="s">
        <v>48</v>
      </c>
      <c r="J179" t="s">
        <v>49</v>
      </c>
      <c r="K179" s="8">
        <v>19526.79</v>
      </c>
      <c r="L179" s="8">
        <v>19526.79</v>
      </c>
      <c r="M179" s="8">
        <v>21870</v>
      </c>
      <c r="N179">
        <v>1</v>
      </c>
      <c r="O179">
        <v>0</v>
      </c>
      <c r="P179" s="8">
        <v>0</v>
      </c>
      <c r="Q179" s="8">
        <v>0</v>
      </c>
      <c r="R179" s="8">
        <v>0</v>
      </c>
      <c r="S179">
        <v>2</v>
      </c>
      <c r="T179">
        <v>4</v>
      </c>
      <c r="U179" t="s">
        <v>50</v>
      </c>
      <c r="V179" t="s">
        <v>414</v>
      </c>
      <c r="W179" t="s">
        <v>728</v>
      </c>
      <c r="X179" t="s">
        <v>339</v>
      </c>
      <c r="Y179">
        <v>111</v>
      </c>
      <c r="Z179" t="s">
        <v>42</v>
      </c>
      <c r="AA179" t="s">
        <v>729</v>
      </c>
      <c r="AB179" t="s">
        <v>44</v>
      </c>
    </row>
    <row r="180" spans="1:28" ht="20" customHeight="1">
      <c r="A180" t="s">
        <v>334</v>
      </c>
      <c r="B180" t="s">
        <v>340</v>
      </c>
      <c r="C180" t="s">
        <v>730</v>
      </c>
      <c r="D180" s="7">
        <v>46266.42569444444</v>
      </c>
      <c r="E180" t="s">
        <v>47</v>
      </c>
      <c r="F180" t="s">
        <v>34</v>
      </c>
      <c r="G180" t="s">
        <v>35</v>
      </c>
      <c r="H180" t="s">
        <v>35</v>
      </c>
      <c r="I180" t="s">
        <v>48</v>
      </c>
      <c r="J180" t="s">
        <v>49</v>
      </c>
      <c r="K180" s="8">
        <v>26049.11</v>
      </c>
      <c r="L180" s="8">
        <v>26049.11</v>
      </c>
      <c r="M180" s="8">
        <v>29175</v>
      </c>
      <c r="N180">
        <v>1</v>
      </c>
      <c r="O180">
        <v>0</v>
      </c>
      <c r="P180" s="8">
        <v>0</v>
      </c>
      <c r="Q180" s="8">
        <v>0</v>
      </c>
      <c r="R180" s="8">
        <v>0</v>
      </c>
      <c r="S180">
        <v>1</v>
      </c>
      <c r="T180">
        <v>4</v>
      </c>
      <c r="U180" t="s">
        <v>229</v>
      </c>
      <c r="V180" t="s">
        <v>731</v>
      </c>
      <c r="W180" t="s">
        <v>732</v>
      </c>
      <c r="X180" t="s">
        <v>339</v>
      </c>
      <c r="Y180">
        <v>112</v>
      </c>
      <c r="Z180" t="s">
        <v>42</v>
      </c>
      <c r="AA180" t="s">
        <v>733</v>
      </c>
      <c r="AB180" t="s">
        <v>44</v>
      </c>
    </row>
    <row r="181" spans="1:28" ht="20" customHeight="1">
      <c r="A181" t="s">
        <v>334</v>
      </c>
      <c r="B181" t="s">
        <v>335</v>
      </c>
      <c r="C181" t="s">
        <v>734</v>
      </c>
      <c r="D181" s="7">
        <v>46266.64583333334</v>
      </c>
      <c r="E181" t="s">
        <v>47</v>
      </c>
      <c r="F181" t="s">
        <v>34</v>
      </c>
      <c r="G181" t="s">
        <v>35</v>
      </c>
      <c r="I181" t="s">
        <v>132</v>
      </c>
      <c r="J181" t="s">
        <v>68</v>
      </c>
      <c r="K181" s="8">
        <v>3785.71</v>
      </c>
      <c r="L181" s="8">
        <v>0</v>
      </c>
      <c r="M181" s="8">
        <v>4240</v>
      </c>
      <c r="N181">
        <v>0</v>
      </c>
      <c r="O181">
        <v>1</v>
      </c>
      <c r="P181" s="8">
        <v>0</v>
      </c>
      <c r="Q181" s="8">
        <v>3785.71</v>
      </c>
      <c r="R181" s="8">
        <v>0</v>
      </c>
      <c r="S181">
        <v>1</v>
      </c>
      <c r="T181">
        <v>1</v>
      </c>
      <c r="U181" t="s">
        <v>127</v>
      </c>
      <c r="V181" t="s">
        <v>128</v>
      </c>
      <c r="W181" t="s">
        <v>735</v>
      </c>
      <c r="X181" t="s">
        <v>339</v>
      </c>
      <c r="Y181">
        <v>113</v>
      </c>
      <c r="Z181" t="s">
        <v>42</v>
      </c>
      <c r="AA181" t="s">
        <v>736</v>
      </c>
      <c r="AB181" t="s">
        <v>44</v>
      </c>
    </row>
    <row r="182" spans="1:28" ht="20" customHeight="1">
      <c r="A182" t="s">
        <v>334</v>
      </c>
      <c r="B182" t="s">
        <v>340</v>
      </c>
      <c r="C182" t="s">
        <v>737</v>
      </c>
      <c r="D182" s="7">
        <v>46266.72986111111</v>
      </c>
      <c r="E182" t="s">
        <v>47</v>
      </c>
      <c r="F182" t="s">
        <v>34</v>
      </c>
      <c r="G182" t="s">
        <v>35</v>
      </c>
      <c r="H182" t="s">
        <v>35</v>
      </c>
      <c r="I182" t="s">
        <v>132</v>
      </c>
      <c r="J182" t="s">
        <v>68</v>
      </c>
      <c r="K182" s="8">
        <v>13348.21</v>
      </c>
      <c r="L182" s="8">
        <v>0</v>
      </c>
      <c r="M182" s="8">
        <v>14950</v>
      </c>
      <c r="N182">
        <v>0</v>
      </c>
      <c r="O182">
        <v>1</v>
      </c>
      <c r="P182" s="8">
        <v>0</v>
      </c>
      <c r="Q182" s="8">
        <v>13348.21</v>
      </c>
      <c r="R182" s="8">
        <v>0</v>
      </c>
      <c r="S182">
        <v>1</v>
      </c>
      <c r="T182">
        <v>4</v>
      </c>
      <c r="U182" t="s">
        <v>80</v>
      </c>
      <c r="V182" t="s">
        <v>114</v>
      </c>
      <c r="W182" t="s">
        <v>738</v>
      </c>
      <c r="X182" t="s">
        <v>339</v>
      </c>
      <c r="Y182">
        <v>114</v>
      </c>
      <c r="Z182" t="s">
        <v>42</v>
      </c>
      <c r="AA182" t="s">
        <v>739</v>
      </c>
      <c r="AB182" t="s">
        <v>44</v>
      </c>
    </row>
    <row r="183" spans="1:28" ht="20" customHeight="1">
      <c r="A183" t="s">
        <v>334</v>
      </c>
      <c r="B183" t="s">
        <v>340</v>
      </c>
      <c r="C183" t="s">
        <v>740</v>
      </c>
      <c r="D183" s="7">
        <v>46277.42847222222</v>
      </c>
      <c r="E183" t="s">
        <v>56</v>
      </c>
      <c r="F183" t="s">
        <v>34</v>
      </c>
      <c r="G183" t="s">
        <v>35</v>
      </c>
      <c r="H183" t="s">
        <v>35</v>
      </c>
      <c r="I183" t="s">
        <v>48</v>
      </c>
      <c r="J183" t="s">
        <v>49</v>
      </c>
      <c r="K183" s="8">
        <v>31211.79</v>
      </c>
      <c r="L183" s="8">
        <v>31211.79</v>
      </c>
      <c r="M183" s="8">
        <v>34957.2</v>
      </c>
      <c r="N183">
        <v>1</v>
      </c>
      <c r="O183">
        <v>0</v>
      </c>
      <c r="P183" s="8">
        <v>0</v>
      </c>
      <c r="Q183" s="8">
        <v>0</v>
      </c>
      <c r="R183" s="8">
        <v>0</v>
      </c>
      <c r="S183">
        <v>1</v>
      </c>
      <c r="T183">
        <v>4</v>
      </c>
      <c r="U183" t="s">
        <v>101</v>
      </c>
      <c r="V183" t="s">
        <v>393</v>
      </c>
      <c r="W183" t="s">
        <v>741</v>
      </c>
      <c r="X183" t="s">
        <v>339</v>
      </c>
      <c r="Y183">
        <v>115</v>
      </c>
      <c r="Z183" t="s">
        <v>42</v>
      </c>
      <c r="AA183" t="s">
        <v>742</v>
      </c>
      <c r="AB183" t="s">
        <v>44</v>
      </c>
    </row>
    <row r="184" spans="1:28" ht="20" customHeight="1">
      <c r="A184" t="s">
        <v>334</v>
      </c>
      <c r="B184" t="s">
        <v>340</v>
      </c>
      <c r="C184" t="s">
        <v>743</v>
      </c>
      <c r="D184" s="7">
        <v>46277.56041666667</v>
      </c>
      <c r="E184" t="s">
        <v>56</v>
      </c>
      <c r="F184" t="s">
        <v>34</v>
      </c>
      <c r="G184" t="s">
        <v>35</v>
      </c>
      <c r="I184" t="s">
        <v>132</v>
      </c>
      <c r="J184" t="s">
        <v>68</v>
      </c>
      <c r="K184" s="8">
        <v>22834.82</v>
      </c>
      <c r="L184" s="8">
        <v>0</v>
      </c>
      <c r="M184" s="8">
        <v>25575</v>
      </c>
      <c r="N184">
        <v>0</v>
      </c>
      <c r="O184">
        <v>1</v>
      </c>
      <c r="P184" s="8">
        <v>0</v>
      </c>
      <c r="Q184" s="8">
        <v>22834.82</v>
      </c>
      <c r="R184" s="8">
        <v>0</v>
      </c>
      <c r="S184">
        <v>1</v>
      </c>
      <c r="T184">
        <v>4</v>
      </c>
      <c r="U184" t="s">
        <v>50</v>
      </c>
      <c r="V184" t="s">
        <v>744</v>
      </c>
      <c r="W184" t="s">
        <v>745</v>
      </c>
      <c r="X184" t="s">
        <v>339</v>
      </c>
      <c r="Y184">
        <v>116</v>
      </c>
      <c r="Z184" t="s">
        <v>42</v>
      </c>
      <c r="AA184" t="s">
        <v>531</v>
      </c>
      <c r="AB184" t="s">
        <v>44</v>
      </c>
    </row>
    <row r="185" spans="1:28" ht="20" customHeight="1">
      <c r="A185" t="s">
        <v>334</v>
      </c>
      <c r="B185" t="s">
        <v>340</v>
      </c>
      <c r="C185" t="s">
        <v>746</v>
      </c>
      <c r="D185" s="7">
        <v>46277.56111111111</v>
      </c>
      <c r="E185" t="s">
        <v>56</v>
      </c>
      <c r="F185" t="s">
        <v>34</v>
      </c>
      <c r="G185" t="s">
        <v>35</v>
      </c>
      <c r="I185" t="s">
        <v>132</v>
      </c>
      <c r="J185" t="s">
        <v>68</v>
      </c>
      <c r="K185" s="8">
        <v>23281.25</v>
      </c>
      <c r="L185" s="8">
        <v>0</v>
      </c>
      <c r="M185" s="8">
        <v>26075</v>
      </c>
      <c r="N185">
        <v>0</v>
      </c>
      <c r="O185">
        <v>1</v>
      </c>
      <c r="P185" s="8">
        <v>0</v>
      </c>
      <c r="Q185" s="8">
        <v>23281.25</v>
      </c>
      <c r="R185" s="8">
        <v>0</v>
      </c>
      <c r="S185">
        <v>1</v>
      </c>
      <c r="T185">
        <v>4</v>
      </c>
      <c r="U185" t="s">
        <v>50</v>
      </c>
      <c r="V185" t="s">
        <v>744</v>
      </c>
      <c r="W185" t="s">
        <v>747</v>
      </c>
      <c r="X185" t="s">
        <v>339</v>
      </c>
      <c r="Y185">
        <v>117</v>
      </c>
      <c r="Z185" t="s">
        <v>42</v>
      </c>
      <c r="AA185" t="s">
        <v>531</v>
      </c>
      <c r="AB185" t="s">
        <v>44</v>
      </c>
    </row>
    <row r="186" spans="1:28" ht="20" customHeight="1">
      <c r="A186" t="s">
        <v>334</v>
      </c>
      <c r="B186" t="s">
        <v>340</v>
      </c>
      <c r="C186" t="s">
        <v>748</v>
      </c>
      <c r="D186" s="7">
        <v>46277.56111111111</v>
      </c>
      <c r="E186" t="s">
        <v>56</v>
      </c>
      <c r="F186" t="s">
        <v>34</v>
      </c>
      <c r="G186" t="s">
        <v>35</v>
      </c>
      <c r="I186" t="s">
        <v>132</v>
      </c>
      <c r="J186" t="s">
        <v>68</v>
      </c>
      <c r="K186" s="8">
        <v>23281.25</v>
      </c>
      <c r="L186" s="8">
        <v>0</v>
      </c>
      <c r="M186" s="8">
        <v>26075</v>
      </c>
      <c r="N186">
        <v>0</v>
      </c>
      <c r="O186">
        <v>1</v>
      </c>
      <c r="P186" s="8">
        <v>0</v>
      </c>
      <c r="Q186" s="8">
        <v>23281.25</v>
      </c>
      <c r="R186" s="8">
        <v>0</v>
      </c>
      <c r="S186">
        <v>1</v>
      </c>
      <c r="T186">
        <v>4</v>
      </c>
      <c r="U186" t="s">
        <v>50</v>
      </c>
      <c r="V186" t="s">
        <v>744</v>
      </c>
      <c r="W186" t="s">
        <v>749</v>
      </c>
      <c r="X186" t="s">
        <v>339</v>
      </c>
      <c r="Y186">
        <v>118</v>
      </c>
      <c r="Z186" t="s">
        <v>42</v>
      </c>
      <c r="AA186" t="s">
        <v>531</v>
      </c>
      <c r="AB186" t="s">
        <v>44</v>
      </c>
    </row>
    <row r="187" spans="1:28" ht="20" customHeight="1">
      <c r="A187" t="s">
        <v>334</v>
      </c>
      <c r="B187" t="s">
        <v>335</v>
      </c>
      <c r="C187" t="s">
        <v>750</v>
      </c>
      <c r="D187" s="7">
        <v>46277.79305555556</v>
      </c>
      <c r="E187" t="s">
        <v>56</v>
      </c>
      <c r="F187" t="s">
        <v>34</v>
      </c>
      <c r="G187" t="s">
        <v>35</v>
      </c>
      <c r="I187" t="s">
        <v>132</v>
      </c>
      <c r="J187" t="s">
        <v>68</v>
      </c>
      <c r="K187" s="8">
        <v>4478.84</v>
      </c>
      <c r="L187" s="8">
        <v>0</v>
      </c>
      <c r="M187" s="8">
        <v>5016.3</v>
      </c>
      <c r="N187">
        <v>0</v>
      </c>
      <c r="O187">
        <v>1</v>
      </c>
      <c r="P187" s="8">
        <v>0</v>
      </c>
      <c r="Q187" s="8">
        <v>4478.84</v>
      </c>
      <c r="R187" s="8">
        <v>0</v>
      </c>
      <c r="S187">
        <v>1</v>
      </c>
      <c r="T187">
        <v>2</v>
      </c>
      <c r="U187" t="s">
        <v>289</v>
      </c>
      <c r="V187" t="s">
        <v>751</v>
      </c>
      <c r="W187" t="s">
        <v>752</v>
      </c>
      <c r="X187" t="s">
        <v>339</v>
      </c>
      <c r="Y187">
        <v>119</v>
      </c>
      <c r="Z187" t="s">
        <v>42</v>
      </c>
      <c r="AA187" t="s">
        <v>258</v>
      </c>
      <c r="AB187" t="s">
        <v>44</v>
      </c>
    </row>
    <row r="188" spans="1:28" ht="20" customHeight="1">
      <c r="A188" t="s">
        <v>334</v>
      </c>
      <c r="B188" t="s">
        <v>335</v>
      </c>
      <c r="C188" t="s">
        <v>753</v>
      </c>
      <c r="D188" s="7">
        <v>46278.65138888889</v>
      </c>
      <c r="E188" t="s">
        <v>56</v>
      </c>
      <c r="F188" t="s">
        <v>34</v>
      </c>
      <c r="G188" t="s">
        <v>35</v>
      </c>
      <c r="H188" t="s">
        <v>35</v>
      </c>
      <c r="I188" t="s">
        <v>132</v>
      </c>
      <c r="J188" t="s">
        <v>68</v>
      </c>
      <c r="K188" s="8">
        <v>11102.32</v>
      </c>
      <c r="L188" s="8">
        <v>0</v>
      </c>
      <c r="M188" s="8">
        <v>12434.6</v>
      </c>
      <c r="N188">
        <v>0</v>
      </c>
      <c r="O188">
        <v>1</v>
      </c>
      <c r="P188" s="8">
        <v>0</v>
      </c>
      <c r="Q188" s="8">
        <v>11102.32</v>
      </c>
      <c r="R188" s="8">
        <v>0</v>
      </c>
      <c r="S188">
        <v>1</v>
      </c>
      <c r="T188">
        <v>4</v>
      </c>
      <c r="U188" t="s">
        <v>57</v>
      </c>
      <c r="V188" t="s">
        <v>411</v>
      </c>
      <c r="W188" t="s">
        <v>754</v>
      </c>
      <c r="X188" t="s">
        <v>339</v>
      </c>
      <c r="Y188">
        <v>120</v>
      </c>
      <c r="Z188" t="s">
        <v>42</v>
      </c>
      <c r="AA188" t="s">
        <v>258</v>
      </c>
      <c r="AB188" t="s">
        <v>44</v>
      </c>
    </row>
    <row r="189" spans="1:28" ht="20" customHeight="1">
      <c r="A189" t="s">
        <v>334</v>
      </c>
      <c r="B189" t="s">
        <v>335</v>
      </c>
      <c r="C189" t="s">
        <v>755</v>
      </c>
      <c r="D189" s="7">
        <v>46279.39722222222</v>
      </c>
      <c r="E189" t="s">
        <v>56</v>
      </c>
      <c r="F189" t="s">
        <v>34</v>
      </c>
      <c r="G189" t="s">
        <v>35</v>
      </c>
      <c r="I189" t="s">
        <v>132</v>
      </c>
      <c r="J189" t="s">
        <v>68</v>
      </c>
      <c r="K189" s="8">
        <v>20339.29</v>
      </c>
      <c r="L189" s="8">
        <v>0</v>
      </c>
      <c r="M189" s="8">
        <v>22780</v>
      </c>
      <c r="N189">
        <v>0</v>
      </c>
      <c r="O189">
        <v>1</v>
      </c>
      <c r="P189" s="8">
        <v>0</v>
      </c>
      <c r="Q189" s="8">
        <v>20339.29</v>
      </c>
      <c r="R189" s="8">
        <v>0</v>
      </c>
      <c r="S189">
        <v>1</v>
      </c>
      <c r="T189">
        <v>4</v>
      </c>
      <c r="U189" t="s">
        <v>229</v>
      </c>
      <c r="V189" t="s">
        <v>756</v>
      </c>
      <c r="W189" t="s">
        <v>757</v>
      </c>
      <c r="X189" t="s">
        <v>339</v>
      </c>
      <c r="Y189">
        <v>121</v>
      </c>
      <c r="Z189" t="s">
        <v>42</v>
      </c>
      <c r="AA189" t="s">
        <v>258</v>
      </c>
      <c r="AB189" t="s">
        <v>44</v>
      </c>
    </row>
    <row r="190" spans="1:28" ht="20" customHeight="1">
      <c r="A190" t="s">
        <v>334</v>
      </c>
      <c r="B190" t="s">
        <v>335</v>
      </c>
      <c r="C190" t="s">
        <v>758</v>
      </c>
      <c r="D190" s="7">
        <v>46279.42222222222</v>
      </c>
      <c r="E190" t="s">
        <v>56</v>
      </c>
      <c r="F190" t="s">
        <v>34</v>
      </c>
      <c r="G190" t="s">
        <v>35</v>
      </c>
      <c r="I190" t="s">
        <v>132</v>
      </c>
      <c r="J190" t="s">
        <v>68</v>
      </c>
      <c r="K190" s="8">
        <v>4673.3</v>
      </c>
      <c r="L190" s="8">
        <v>0</v>
      </c>
      <c r="M190" s="8">
        <v>5234.1</v>
      </c>
      <c r="N190">
        <v>0</v>
      </c>
      <c r="O190">
        <v>1</v>
      </c>
      <c r="P190" s="8">
        <v>0</v>
      </c>
      <c r="Q190" s="8">
        <v>4673.3</v>
      </c>
      <c r="R190" s="8">
        <v>0</v>
      </c>
      <c r="S190">
        <v>1</v>
      </c>
      <c r="T190">
        <v>2</v>
      </c>
      <c r="U190" t="s">
        <v>57</v>
      </c>
      <c r="V190" t="s">
        <v>107</v>
      </c>
      <c r="W190" t="s">
        <v>759</v>
      </c>
      <c r="X190" t="s">
        <v>339</v>
      </c>
      <c r="Y190">
        <v>122</v>
      </c>
      <c r="Z190" t="s">
        <v>42</v>
      </c>
      <c r="AA190" t="s">
        <v>409</v>
      </c>
      <c r="AB190" t="s">
        <v>44</v>
      </c>
    </row>
    <row r="191" spans="1:28" ht="20" customHeight="1">
      <c r="A191" t="s">
        <v>334</v>
      </c>
      <c r="B191" t="s">
        <v>340</v>
      </c>
      <c r="C191" t="s">
        <v>760</v>
      </c>
      <c r="D191" s="7">
        <v>46279.5625</v>
      </c>
      <c r="E191" t="s">
        <v>56</v>
      </c>
      <c r="F191" t="s">
        <v>34</v>
      </c>
      <c r="G191" t="s">
        <v>35</v>
      </c>
      <c r="H191" t="s">
        <v>35</v>
      </c>
      <c r="I191" t="s">
        <v>48</v>
      </c>
      <c r="J191" t="s">
        <v>49</v>
      </c>
      <c r="K191" s="8">
        <v>18650.54</v>
      </c>
      <c r="L191" s="8">
        <v>18650.54</v>
      </c>
      <c r="M191" s="8">
        <v>20888.6</v>
      </c>
      <c r="N191">
        <v>1</v>
      </c>
      <c r="O191">
        <v>0</v>
      </c>
      <c r="P191" s="8">
        <v>0</v>
      </c>
      <c r="Q191" s="8">
        <v>0</v>
      </c>
      <c r="R191" s="8">
        <v>0</v>
      </c>
      <c r="S191">
        <v>1</v>
      </c>
      <c r="T191">
        <v>4</v>
      </c>
      <c r="U191" t="s">
        <v>80</v>
      </c>
      <c r="V191" t="s">
        <v>761</v>
      </c>
      <c r="W191" t="s">
        <v>762</v>
      </c>
      <c r="X191" t="s">
        <v>339</v>
      </c>
      <c r="Y191">
        <v>123</v>
      </c>
      <c r="Z191" t="s">
        <v>42</v>
      </c>
      <c r="AA191" t="s">
        <v>763</v>
      </c>
      <c r="AB191" t="s">
        <v>44</v>
      </c>
    </row>
    <row r="192" spans="1:28" ht="20" customHeight="1">
      <c r="A192" t="s">
        <v>334</v>
      </c>
      <c r="B192" t="s">
        <v>340</v>
      </c>
      <c r="C192" t="s">
        <v>764</v>
      </c>
      <c r="D192" s="7">
        <v>46281.28263888889</v>
      </c>
      <c r="E192" t="s">
        <v>33</v>
      </c>
      <c r="F192" t="s">
        <v>34</v>
      </c>
      <c r="G192" t="s">
        <v>35</v>
      </c>
      <c r="H192" t="s">
        <v>35</v>
      </c>
      <c r="I192" t="s">
        <v>132</v>
      </c>
      <c r="J192" t="s">
        <v>68</v>
      </c>
      <c r="K192" s="8">
        <v>10940.54</v>
      </c>
      <c r="L192" s="8">
        <v>0</v>
      </c>
      <c r="M192" s="8">
        <v>12253.4</v>
      </c>
      <c r="N192">
        <v>0</v>
      </c>
      <c r="O192">
        <v>1</v>
      </c>
      <c r="P192" s="8">
        <v>0</v>
      </c>
      <c r="Q192" s="8">
        <v>10940.54</v>
      </c>
      <c r="R192" s="8">
        <v>0</v>
      </c>
      <c r="S192">
        <v>1</v>
      </c>
      <c r="T192">
        <v>4</v>
      </c>
      <c r="U192" t="s">
        <v>80</v>
      </c>
      <c r="V192" t="s">
        <v>133</v>
      </c>
      <c r="W192" t="s">
        <v>765</v>
      </c>
      <c r="X192" t="s">
        <v>339</v>
      </c>
      <c r="Y192">
        <v>124</v>
      </c>
      <c r="Z192" t="s">
        <v>42</v>
      </c>
      <c r="AA192" t="s">
        <v>766</v>
      </c>
      <c r="AB192" t="s">
        <v>44</v>
      </c>
    </row>
    <row r="193" spans="1:28" ht="20" customHeight="1">
      <c r="A193" t="s">
        <v>334</v>
      </c>
      <c r="B193" t="s">
        <v>340</v>
      </c>
      <c r="C193" t="s">
        <v>767</v>
      </c>
      <c r="D193" s="7">
        <v>46281.50625</v>
      </c>
      <c r="E193" t="s">
        <v>33</v>
      </c>
      <c r="F193" t="s">
        <v>34</v>
      </c>
      <c r="G193" t="s">
        <v>35</v>
      </c>
      <c r="I193" t="s">
        <v>132</v>
      </c>
      <c r="J193" t="s">
        <v>68</v>
      </c>
      <c r="K193" s="8">
        <v>11755.18</v>
      </c>
      <c r="L193" s="8">
        <v>0</v>
      </c>
      <c r="M193" s="8">
        <v>13165.8</v>
      </c>
      <c r="N193">
        <v>0</v>
      </c>
      <c r="O193">
        <v>1</v>
      </c>
      <c r="P193" s="8">
        <v>0</v>
      </c>
      <c r="Q193" s="8">
        <v>11755.18</v>
      </c>
      <c r="R193" s="8">
        <v>0</v>
      </c>
      <c r="S193">
        <v>1</v>
      </c>
      <c r="T193">
        <v>4</v>
      </c>
      <c r="U193" t="s">
        <v>101</v>
      </c>
      <c r="V193" t="s">
        <v>768</v>
      </c>
      <c r="W193" t="s">
        <v>769</v>
      </c>
      <c r="X193" t="s">
        <v>339</v>
      </c>
      <c r="Y193">
        <v>125</v>
      </c>
      <c r="Z193" t="s">
        <v>42</v>
      </c>
      <c r="AA193" t="s">
        <v>770</v>
      </c>
      <c r="AB193" t="s">
        <v>44</v>
      </c>
    </row>
    <row r="194" spans="1:28" ht="20" customHeight="1">
      <c r="A194" t="s">
        <v>334</v>
      </c>
      <c r="B194" t="s">
        <v>340</v>
      </c>
      <c r="C194" t="s">
        <v>771</v>
      </c>
      <c r="D194" s="7">
        <v>46281.51944444444</v>
      </c>
      <c r="E194" t="s">
        <v>33</v>
      </c>
      <c r="F194" t="s">
        <v>34</v>
      </c>
      <c r="G194" t="s">
        <v>35</v>
      </c>
      <c r="H194" t="s">
        <v>35</v>
      </c>
      <c r="I194" t="s">
        <v>132</v>
      </c>
      <c r="J194" t="s">
        <v>68</v>
      </c>
      <c r="K194" s="8">
        <v>43410.71</v>
      </c>
      <c r="L194" s="8">
        <v>0</v>
      </c>
      <c r="M194" s="8">
        <v>48620</v>
      </c>
      <c r="N194">
        <v>0</v>
      </c>
      <c r="O194">
        <v>1</v>
      </c>
      <c r="P194" s="8">
        <v>0</v>
      </c>
      <c r="Q194" s="8">
        <v>43410.71</v>
      </c>
      <c r="R194" s="8">
        <v>0</v>
      </c>
      <c r="S194">
        <v>1</v>
      </c>
      <c r="T194">
        <v>4</v>
      </c>
      <c r="U194" t="s">
        <v>50</v>
      </c>
      <c r="V194" t="s">
        <v>97</v>
      </c>
      <c r="W194" t="s">
        <v>772</v>
      </c>
      <c r="X194" t="s">
        <v>339</v>
      </c>
      <c r="Y194">
        <v>126</v>
      </c>
      <c r="Z194" t="s">
        <v>42</v>
      </c>
      <c r="AA194" t="s">
        <v>264</v>
      </c>
      <c r="AB194" t="s">
        <v>44</v>
      </c>
    </row>
    <row r="195" spans="1:28" ht="20" customHeight="1">
      <c r="A195" t="s">
        <v>334</v>
      </c>
      <c r="B195" t="s">
        <v>340</v>
      </c>
      <c r="C195" t="s">
        <v>773</v>
      </c>
      <c r="D195" s="7">
        <v>46281.77361111111</v>
      </c>
      <c r="E195" t="s">
        <v>33</v>
      </c>
      <c r="F195" t="s">
        <v>34</v>
      </c>
      <c r="G195" t="s">
        <v>35</v>
      </c>
      <c r="H195" t="s">
        <v>35</v>
      </c>
      <c r="I195" t="s">
        <v>132</v>
      </c>
      <c r="J195" t="s">
        <v>68</v>
      </c>
      <c r="K195" s="8">
        <v>7460.18</v>
      </c>
      <c r="L195" s="8">
        <v>0</v>
      </c>
      <c r="M195" s="8">
        <v>8355.4</v>
      </c>
      <c r="N195">
        <v>0</v>
      </c>
      <c r="O195">
        <v>1</v>
      </c>
      <c r="P195" s="8">
        <v>0</v>
      </c>
      <c r="Q195" s="8">
        <v>7460.18</v>
      </c>
      <c r="R195" s="8">
        <v>0</v>
      </c>
      <c r="S195">
        <v>1</v>
      </c>
      <c r="T195">
        <v>4</v>
      </c>
      <c r="U195" t="s">
        <v>57</v>
      </c>
      <c r="V195" t="s">
        <v>453</v>
      </c>
      <c r="W195" t="s">
        <v>774</v>
      </c>
      <c r="X195" t="s">
        <v>339</v>
      </c>
      <c r="Y195">
        <v>127</v>
      </c>
      <c r="Z195" t="s">
        <v>42</v>
      </c>
      <c r="AA195" t="s">
        <v>264</v>
      </c>
      <c r="AB195" t="s">
        <v>44</v>
      </c>
    </row>
    <row r="196" spans="1:28" ht="20" customHeight="1">
      <c r="A196" t="s">
        <v>334</v>
      </c>
      <c r="B196" t="s">
        <v>335</v>
      </c>
      <c r="C196" t="s">
        <v>775</v>
      </c>
      <c r="D196" s="7">
        <v>46282.66875</v>
      </c>
      <c r="E196" t="s">
        <v>33</v>
      </c>
      <c r="F196" t="s">
        <v>34</v>
      </c>
      <c r="G196" t="s">
        <v>35</v>
      </c>
      <c r="I196" t="s">
        <v>48</v>
      </c>
      <c r="J196" t="s">
        <v>49</v>
      </c>
      <c r="K196" s="8">
        <v>2227.68</v>
      </c>
      <c r="L196" s="8">
        <v>2227.68</v>
      </c>
      <c r="M196" s="8">
        <v>2495</v>
      </c>
      <c r="N196">
        <v>1</v>
      </c>
      <c r="O196">
        <v>0</v>
      </c>
      <c r="P196" s="8">
        <v>0</v>
      </c>
      <c r="Q196" s="8">
        <v>0</v>
      </c>
      <c r="R196" s="8">
        <v>0</v>
      </c>
      <c r="S196">
        <v>1</v>
      </c>
      <c r="T196">
        <v>1</v>
      </c>
      <c r="U196" t="s">
        <v>57</v>
      </c>
      <c r="V196" t="s">
        <v>107</v>
      </c>
      <c r="W196" t="s">
        <v>776</v>
      </c>
      <c r="X196" t="s">
        <v>339</v>
      </c>
      <c r="Y196">
        <v>128</v>
      </c>
      <c r="Z196" t="s">
        <v>42</v>
      </c>
      <c r="AA196" t="s">
        <v>777</v>
      </c>
      <c r="AB196" t="s">
        <v>44</v>
      </c>
    </row>
    <row r="197" spans="1:28" ht="20" customHeight="1">
      <c r="A197" t="s">
        <v>334</v>
      </c>
      <c r="B197" t="s">
        <v>340</v>
      </c>
      <c r="C197" t="s">
        <v>778</v>
      </c>
      <c r="D197" s="7">
        <v>46282.69166666667</v>
      </c>
      <c r="E197" t="s">
        <v>33</v>
      </c>
      <c r="F197" t="s">
        <v>34</v>
      </c>
      <c r="G197" t="s">
        <v>35</v>
      </c>
      <c r="I197" t="s">
        <v>132</v>
      </c>
      <c r="J197" t="s">
        <v>68</v>
      </c>
      <c r="K197" s="8">
        <v>10940.54</v>
      </c>
      <c r="L197" s="8">
        <v>0</v>
      </c>
      <c r="M197" s="8">
        <v>12253.4</v>
      </c>
      <c r="N197">
        <v>0</v>
      </c>
      <c r="O197">
        <v>1</v>
      </c>
      <c r="P197" s="8">
        <v>0</v>
      </c>
      <c r="Q197" s="8">
        <v>10940.54</v>
      </c>
      <c r="R197" s="8">
        <v>0</v>
      </c>
      <c r="S197">
        <v>1</v>
      </c>
      <c r="T197">
        <v>4</v>
      </c>
      <c r="U197" t="s">
        <v>80</v>
      </c>
      <c r="V197" t="s">
        <v>133</v>
      </c>
      <c r="W197" t="s">
        <v>779</v>
      </c>
      <c r="X197" t="s">
        <v>339</v>
      </c>
      <c r="Y197">
        <v>129</v>
      </c>
      <c r="Z197" t="s">
        <v>42</v>
      </c>
      <c r="AA197" t="s">
        <v>268</v>
      </c>
      <c r="AB197" t="s">
        <v>44</v>
      </c>
    </row>
    <row r="198" spans="1:28" ht="20" customHeight="1">
      <c r="A198" t="s">
        <v>334</v>
      </c>
      <c r="B198" t="s">
        <v>340</v>
      </c>
      <c r="C198" t="s">
        <v>780</v>
      </c>
      <c r="D198" s="7">
        <v>46283.86944444444</v>
      </c>
      <c r="E198" t="s">
        <v>33</v>
      </c>
      <c r="F198" t="s">
        <v>34</v>
      </c>
      <c r="G198" t="s">
        <v>35</v>
      </c>
      <c r="H198" t="s">
        <v>35</v>
      </c>
      <c r="I198" t="s">
        <v>432</v>
      </c>
      <c r="J198" t="s">
        <v>432</v>
      </c>
      <c r="K198" s="8">
        <v>15274.11</v>
      </c>
      <c r="L198" s="8">
        <v>0</v>
      </c>
      <c r="M198" s="8">
        <v>17107</v>
      </c>
      <c r="N198">
        <v>0</v>
      </c>
      <c r="O198">
        <v>0</v>
      </c>
      <c r="P198" s="8">
        <v>0</v>
      </c>
      <c r="Q198" s="8">
        <v>0</v>
      </c>
      <c r="R198" s="8">
        <v>15274.11</v>
      </c>
      <c r="S198">
        <v>1</v>
      </c>
      <c r="T198">
        <v>4</v>
      </c>
      <c r="U198" t="s">
        <v>101</v>
      </c>
      <c r="V198" t="s">
        <v>781</v>
      </c>
      <c r="W198" t="s">
        <v>782</v>
      </c>
      <c r="X198" t="s">
        <v>339</v>
      </c>
      <c r="Y198">
        <v>130</v>
      </c>
      <c r="Z198" t="s">
        <v>42</v>
      </c>
      <c r="AA198" t="s">
        <v>783</v>
      </c>
      <c r="AB198" t="s">
        <v>44</v>
      </c>
    </row>
    <row r="199" spans="1:28" ht="20" customHeight="1">
      <c r="A199" t="s">
        <v>334</v>
      </c>
      <c r="B199" t="s">
        <v>335</v>
      </c>
      <c r="C199" t="s">
        <v>784</v>
      </c>
      <c r="D199" s="7">
        <v>46285.60486111111</v>
      </c>
      <c r="E199" t="s">
        <v>33</v>
      </c>
      <c r="F199" t="s">
        <v>34</v>
      </c>
      <c r="G199" t="s">
        <v>35</v>
      </c>
      <c r="H199" t="s">
        <v>35</v>
      </c>
      <c r="I199" t="s">
        <v>132</v>
      </c>
      <c r="J199" t="s">
        <v>68</v>
      </c>
      <c r="K199" s="8">
        <v>9593.389999999999</v>
      </c>
      <c r="L199" s="8">
        <v>0</v>
      </c>
      <c r="M199" s="8">
        <v>10744.6</v>
      </c>
      <c r="N199">
        <v>0</v>
      </c>
      <c r="O199">
        <v>1</v>
      </c>
      <c r="P199" s="8">
        <v>0</v>
      </c>
      <c r="Q199" s="8">
        <v>9593.389999999999</v>
      </c>
      <c r="R199" s="8">
        <v>0</v>
      </c>
      <c r="S199">
        <v>1</v>
      </c>
      <c r="T199">
        <v>4</v>
      </c>
      <c r="U199" t="s">
        <v>57</v>
      </c>
      <c r="V199" t="s">
        <v>107</v>
      </c>
      <c r="W199" t="s">
        <v>785</v>
      </c>
      <c r="X199" t="s">
        <v>339</v>
      </c>
      <c r="Y199">
        <v>131</v>
      </c>
      <c r="Z199" t="s">
        <v>42</v>
      </c>
      <c r="AA199" t="s">
        <v>786</v>
      </c>
      <c r="AB199" t="s">
        <v>44</v>
      </c>
    </row>
    <row r="200" spans="1:28" ht="20" customHeight="1">
      <c r="A200" t="s">
        <v>334</v>
      </c>
      <c r="B200" t="s">
        <v>335</v>
      </c>
      <c r="C200" t="s">
        <v>787</v>
      </c>
      <c r="D200" s="7">
        <v>46286.35208333333</v>
      </c>
      <c r="E200" t="s">
        <v>33</v>
      </c>
      <c r="F200" t="s">
        <v>34</v>
      </c>
      <c r="G200" t="s">
        <v>35</v>
      </c>
      <c r="H200" t="s">
        <v>35</v>
      </c>
      <c r="I200" t="s">
        <v>132</v>
      </c>
      <c r="J200" t="s">
        <v>68</v>
      </c>
      <c r="K200" s="8">
        <v>22446.43</v>
      </c>
      <c r="L200" s="8">
        <v>0</v>
      </c>
      <c r="M200" s="8">
        <v>25140</v>
      </c>
      <c r="N200">
        <v>0</v>
      </c>
      <c r="O200">
        <v>1</v>
      </c>
      <c r="P200" s="8">
        <v>0</v>
      </c>
      <c r="Q200" s="8">
        <v>22446.43</v>
      </c>
      <c r="R200" s="8">
        <v>0</v>
      </c>
      <c r="S200">
        <v>1</v>
      </c>
      <c r="T200">
        <v>4</v>
      </c>
      <c r="U200" t="s">
        <v>50</v>
      </c>
      <c r="V200" t="s">
        <v>788</v>
      </c>
      <c r="W200" t="s">
        <v>789</v>
      </c>
      <c r="X200" t="s">
        <v>339</v>
      </c>
      <c r="Y200">
        <v>132</v>
      </c>
      <c r="Z200" t="s">
        <v>42</v>
      </c>
      <c r="AA200" t="s">
        <v>790</v>
      </c>
      <c r="AB200" t="s">
        <v>44</v>
      </c>
    </row>
    <row r="201" spans="1:28" ht="20" customHeight="1">
      <c r="A201" t="s">
        <v>334</v>
      </c>
      <c r="B201" t="s">
        <v>335</v>
      </c>
      <c r="C201" t="s">
        <v>791</v>
      </c>
      <c r="D201" s="7">
        <v>46286.90694444445</v>
      </c>
      <c r="E201" t="s">
        <v>33</v>
      </c>
      <c r="F201" t="s">
        <v>34</v>
      </c>
      <c r="G201" t="s">
        <v>35</v>
      </c>
      <c r="I201" t="s">
        <v>132</v>
      </c>
      <c r="J201" t="s">
        <v>68</v>
      </c>
      <c r="K201" s="8">
        <v>40098.21</v>
      </c>
      <c r="L201" s="8">
        <v>0</v>
      </c>
      <c r="M201" s="8">
        <v>44910</v>
      </c>
      <c r="N201">
        <v>0</v>
      </c>
      <c r="O201">
        <v>1</v>
      </c>
      <c r="P201" s="8">
        <v>0</v>
      </c>
      <c r="Q201" s="8">
        <v>40098.21</v>
      </c>
      <c r="R201" s="8">
        <v>0</v>
      </c>
      <c r="S201">
        <v>1</v>
      </c>
      <c r="T201">
        <v>4</v>
      </c>
      <c r="U201" t="s">
        <v>50</v>
      </c>
      <c r="V201" t="s">
        <v>792</v>
      </c>
      <c r="W201" t="s">
        <v>793</v>
      </c>
      <c r="X201" t="s">
        <v>339</v>
      </c>
      <c r="Y201">
        <v>133</v>
      </c>
      <c r="Z201" t="s">
        <v>42</v>
      </c>
      <c r="AA201" t="s">
        <v>794</v>
      </c>
      <c r="AB201" t="s">
        <v>44</v>
      </c>
    </row>
    <row r="202" spans="1:28" ht="20" customHeight="1">
      <c r="A202" t="s">
        <v>334</v>
      </c>
      <c r="B202" t="s">
        <v>335</v>
      </c>
      <c r="C202" t="s">
        <v>795</v>
      </c>
      <c r="D202" s="7">
        <v>46286.9125</v>
      </c>
      <c r="E202" t="s">
        <v>33</v>
      </c>
      <c r="F202" t="s">
        <v>34</v>
      </c>
      <c r="G202" t="s">
        <v>35</v>
      </c>
      <c r="H202" t="s">
        <v>35</v>
      </c>
      <c r="I202" t="s">
        <v>132</v>
      </c>
      <c r="J202" t="s">
        <v>68</v>
      </c>
      <c r="K202" s="8">
        <v>40544.64</v>
      </c>
      <c r="L202" s="8">
        <v>0</v>
      </c>
      <c r="M202" s="8">
        <v>45410</v>
      </c>
      <c r="N202">
        <v>0</v>
      </c>
      <c r="O202">
        <v>1</v>
      </c>
      <c r="P202" s="8">
        <v>0</v>
      </c>
      <c r="Q202" s="8">
        <v>40544.64</v>
      </c>
      <c r="R202" s="8">
        <v>0</v>
      </c>
      <c r="S202">
        <v>1</v>
      </c>
      <c r="T202">
        <v>4</v>
      </c>
      <c r="U202" t="s">
        <v>50</v>
      </c>
      <c r="V202" t="s">
        <v>792</v>
      </c>
      <c r="W202" t="s">
        <v>796</v>
      </c>
      <c r="X202" t="s">
        <v>339</v>
      </c>
      <c r="Y202">
        <v>134</v>
      </c>
      <c r="Z202" t="s">
        <v>42</v>
      </c>
      <c r="AA202" t="s">
        <v>797</v>
      </c>
      <c r="AB202" t="s">
        <v>44</v>
      </c>
    </row>
    <row r="203" spans="1:28" ht="20" customHeight="1">
      <c r="A203" t="s">
        <v>334</v>
      </c>
      <c r="B203" t="s">
        <v>335</v>
      </c>
      <c r="C203" t="s">
        <v>798</v>
      </c>
      <c r="D203" s="7">
        <v>46288.47152777778</v>
      </c>
      <c r="E203" t="s">
        <v>146</v>
      </c>
      <c r="F203" t="s">
        <v>34</v>
      </c>
      <c r="G203" t="s">
        <v>35</v>
      </c>
      <c r="H203" t="s">
        <v>35</v>
      </c>
      <c r="I203" t="s">
        <v>68</v>
      </c>
      <c r="J203" t="s">
        <v>69</v>
      </c>
      <c r="K203" s="8">
        <v>13652.68</v>
      </c>
      <c r="L203" s="8">
        <v>0</v>
      </c>
      <c r="M203" s="8">
        <v>15291</v>
      </c>
      <c r="N203">
        <v>0</v>
      </c>
      <c r="O203">
        <v>0</v>
      </c>
      <c r="P203" s="8">
        <v>13652.68</v>
      </c>
      <c r="Q203" s="8">
        <v>0</v>
      </c>
      <c r="R203" s="8">
        <v>0</v>
      </c>
      <c r="S203">
        <v>1</v>
      </c>
      <c r="T203">
        <v>2</v>
      </c>
      <c r="U203" t="s">
        <v>101</v>
      </c>
      <c r="V203" t="s">
        <v>799</v>
      </c>
      <c r="W203" t="s">
        <v>800</v>
      </c>
      <c r="X203" t="s">
        <v>339</v>
      </c>
      <c r="Y203">
        <v>135</v>
      </c>
      <c r="Z203" t="s">
        <v>42</v>
      </c>
      <c r="AA203" t="s">
        <v>801</v>
      </c>
      <c r="AB203" t="s">
        <v>44</v>
      </c>
    </row>
    <row r="204" spans="1:28" ht="20" customHeight="1">
      <c r="A204" t="s">
        <v>334</v>
      </c>
      <c r="B204" t="s">
        <v>340</v>
      </c>
      <c r="C204" t="s">
        <v>802</v>
      </c>
      <c r="D204" s="7">
        <v>46288.73958333334</v>
      </c>
      <c r="E204" t="s">
        <v>146</v>
      </c>
      <c r="F204" t="s">
        <v>34</v>
      </c>
      <c r="G204" t="s">
        <v>35</v>
      </c>
      <c r="H204" t="s">
        <v>35</v>
      </c>
      <c r="I204" t="s">
        <v>122</v>
      </c>
      <c r="J204" t="s">
        <v>69</v>
      </c>
      <c r="K204" s="8">
        <v>36879.46</v>
      </c>
      <c r="L204" s="8">
        <v>0</v>
      </c>
      <c r="M204" s="8">
        <v>41305</v>
      </c>
      <c r="N204">
        <v>0</v>
      </c>
      <c r="O204">
        <v>0</v>
      </c>
      <c r="P204" s="8">
        <v>36879.46</v>
      </c>
      <c r="Q204" s="8">
        <v>0</v>
      </c>
      <c r="R204" s="8">
        <v>0</v>
      </c>
      <c r="S204">
        <v>1</v>
      </c>
      <c r="T204">
        <v>4</v>
      </c>
      <c r="U204" t="s">
        <v>50</v>
      </c>
      <c r="V204" t="s">
        <v>64</v>
      </c>
      <c r="W204" t="s">
        <v>803</v>
      </c>
      <c r="X204" t="s">
        <v>339</v>
      </c>
      <c r="Y204">
        <v>136</v>
      </c>
      <c r="Z204" t="s">
        <v>42</v>
      </c>
      <c r="AA204" t="s">
        <v>675</v>
      </c>
      <c r="AB204" t="s">
        <v>44</v>
      </c>
    </row>
    <row r="205" spans="1:28" ht="20" customHeight="1">
      <c r="A205" t="s">
        <v>334</v>
      </c>
      <c r="B205" t="s">
        <v>335</v>
      </c>
      <c r="C205" t="s">
        <v>804</v>
      </c>
      <c r="D205" s="7">
        <v>46288.80347222222</v>
      </c>
      <c r="E205" t="s">
        <v>146</v>
      </c>
      <c r="F205" t="s">
        <v>34</v>
      </c>
      <c r="G205" t="s">
        <v>35</v>
      </c>
      <c r="H205" t="s">
        <v>35</v>
      </c>
      <c r="I205" t="s">
        <v>68</v>
      </c>
      <c r="J205" t="s">
        <v>69</v>
      </c>
      <c r="K205" s="8">
        <v>12886.43</v>
      </c>
      <c r="L205" s="8">
        <v>0</v>
      </c>
      <c r="M205" s="8">
        <v>14432.8</v>
      </c>
      <c r="N205">
        <v>0</v>
      </c>
      <c r="O205">
        <v>0</v>
      </c>
      <c r="P205" s="8">
        <v>12886.43</v>
      </c>
      <c r="Q205" s="8">
        <v>0</v>
      </c>
      <c r="R205" s="8">
        <v>0</v>
      </c>
      <c r="S205">
        <v>1</v>
      </c>
      <c r="T205">
        <v>4</v>
      </c>
      <c r="U205" t="s">
        <v>375</v>
      </c>
      <c r="V205" t="s">
        <v>805</v>
      </c>
      <c r="W205" t="s">
        <v>806</v>
      </c>
      <c r="X205" t="s">
        <v>339</v>
      </c>
      <c r="Y205">
        <v>137</v>
      </c>
      <c r="Z205" t="s">
        <v>42</v>
      </c>
      <c r="AA205" t="s">
        <v>807</v>
      </c>
      <c r="AB205" t="s">
        <v>44</v>
      </c>
    </row>
    <row r="206" spans="1:28" ht="20" customHeight="1">
      <c r="A206" t="s">
        <v>334</v>
      </c>
      <c r="B206" t="s">
        <v>335</v>
      </c>
      <c r="C206" t="s">
        <v>808</v>
      </c>
      <c r="D206" s="7">
        <v>46289.53402777778</v>
      </c>
      <c r="E206" t="s">
        <v>146</v>
      </c>
      <c r="F206" t="s">
        <v>34</v>
      </c>
      <c r="G206" t="s">
        <v>35</v>
      </c>
      <c r="I206" t="s">
        <v>68</v>
      </c>
      <c r="J206" t="s">
        <v>68</v>
      </c>
      <c r="K206" s="8">
        <v>20289.29</v>
      </c>
      <c r="L206" s="8">
        <v>0</v>
      </c>
      <c r="M206" s="8">
        <v>22724</v>
      </c>
      <c r="N206">
        <v>0</v>
      </c>
      <c r="O206">
        <v>0</v>
      </c>
      <c r="P206" s="8">
        <v>20289.29</v>
      </c>
      <c r="Q206" s="8">
        <v>0</v>
      </c>
      <c r="R206" s="8">
        <v>0</v>
      </c>
      <c r="S206">
        <v>1</v>
      </c>
      <c r="T206">
        <v>5</v>
      </c>
      <c r="U206" t="s">
        <v>38</v>
      </c>
      <c r="V206" t="s">
        <v>809</v>
      </c>
      <c r="W206" t="s">
        <v>810</v>
      </c>
      <c r="X206" t="s">
        <v>339</v>
      </c>
      <c r="Y206">
        <v>138</v>
      </c>
      <c r="Z206" t="s">
        <v>42</v>
      </c>
      <c r="AA206" t="s">
        <v>811</v>
      </c>
      <c r="AB206" t="s">
        <v>44</v>
      </c>
    </row>
    <row r="207" spans="1:28" ht="20" customHeight="1">
      <c r="A207" t="s">
        <v>334</v>
      </c>
      <c r="B207" t="s">
        <v>335</v>
      </c>
      <c r="C207" t="s">
        <v>812</v>
      </c>
      <c r="D207" s="7">
        <v>46266.84027777778</v>
      </c>
      <c r="E207" t="s">
        <v>47</v>
      </c>
      <c r="F207" t="s">
        <v>34</v>
      </c>
      <c r="G207" t="s">
        <v>35</v>
      </c>
      <c r="I207" t="s">
        <v>132</v>
      </c>
      <c r="J207" t="s">
        <v>68</v>
      </c>
      <c r="K207" s="8">
        <v>10894.46</v>
      </c>
      <c r="L207" s="8">
        <v>0</v>
      </c>
      <c r="M207" s="8">
        <v>12201.8</v>
      </c>
      <c r="N207">
        <v>0</v>
      </c>
      <c r="O207">
        <v>1</v>
      </c>
      <c r="P207" s="8">
        <v>0</v>
      </c>
      <c r="Q207" s="8">
        <v>10894.46</v>
      </c>
      <c r="R207" s="8">
        <v>0</v>
      </c>
      <c r="S207">
        <v>1</v>
      </c>
      <c r="T207">
        <v>4</v>
      </c>
      <c r="U207" t="s">
        <v>57</v>
      </c>
      <c r="V207" t="s">
        <v>573</v>
      </c>
      <c r="W207" t="s">
        <v>813</v>
      </c>
      <c r="X207" t="s">
        <v>339</v>
      </c>
      <c r="Y207">
        <v>139</v>
      </c>
      <c r="Z207" t="s">
        <v>42</v>
      </c>
      <c r="AA207" t="s">
        <v>814</v>
      </c>
      <c r="AB207" t="s">
        <v>44</v>
      </c>
    </row>
    <row r="208" spans="1:28" ht="20" customHeight="1">
      <c r="A208" t="s">
        <v>334</v>
      </c>
      <c r="B208" t="s">
        <v>340</v>
      </c>
      <c r="C208" t="s">
        <v>815</v>
      </c>
      <c r="D208" s="7">
        <v>46266.97152777778</v>
      </c>
      <c r="E208" t="s">
        <v>47</v>
      </c>
      <c r="F208" t="s">
        <v>34</v>
      </c>
      <c r="G208" t="s">
        <v>35</v>
      </c>
      <c r="H208" t="s">
        <v>35</v>
      </c>
      <c r="I208" t="s">
        <v>132</v>
      </c>
      <c r="J208" t="s">
        <v>68</v>
      </c>
      <c r="K208" s="8">
        <v>19138.21</v>
      </c>
      <c r="L208" s="8">
        <v>0</v>
      </c>
      <c r="M208" s="8">
        <v>21434.8</v>
      </c>
      <c r="N208">
        <v>0</v>
      </c>
      <c r="O208">
        <v>1</v>
      </c>
      <c r="P208" s="8">
        <v>0</v>
      </c>
      <c r="Q208" s="8">
        <v>19138.21</v>
      </c>
      <c r="R208" s="8">
        <v>0</v>
      </c>
      <c r="S208">
        <v>1</v>
      </c>
      <c r="T208">
        <v>4</v>
      </c>
      <c r="U208" t="s">
        <v>38</v>
      </c>
      <c r="V208" t="s">
        <v>816</v>
      </c>
      <c r="W208" t="s">
        <v>817</v>
      </c>
      <c r="X208" t="s">
        <v>339</v>
      </c>
      <c r="Y208">
        <v>140</v>
      </c>
      <c r="Z208" t="s">
        <v>42</v>
      </c>
      <c r="AA208" t="s">
        <v>739</v>
      </c>
      <c r="AB208" t="s">
        <v>44</v>
      </c>
    </row>
    <row r="209" spans="1:28" ht="20" customHeight="1">
      <c r="A209" t="s">
        <v>334</v>
      </c>
      <c r="B209" t="s">
        <v>340</v>
      </c>
      <c r="C209" t="s">
        <v>818</v>
      </c>
      <c r="D209" s="7">
        <v>46267.05486111111</v>
      </c>
      <c r="E209" t="s">
        <v>47</v>
      </c>
      <c r="F209" t="s">
        <v>34</v>
      </c>
      <c r="G209" t="s">
        <v>35</v>
      </c>
      <c r="H209" t="s">
        <v>35</v>
      </c>
      <c r="I209" t="s">
        <v>132</v>
      </c>
      <c r="J209" t="s">
        <v>68</v>
      </c>
      <c r="K209" s="8">
        <v>6008.93</v>
      </c>
      <c r="L209" s="8">
        <v>0</v>
      </c>
      <c r="M209" s="8">
        <v>6730</v>
      </c>
      <c r="N209">
        <v>0</v>
      </c>
      <c r="O209">
        <v>1</v>
      </c>
      <c r="P209" s="8">
        <v>0</v>
      </c>
      <c r="Q209" s="8">
        <v>6008.93</v>
      </c>
      <c r="R209" s="8">
        <v>0</v>
      </c>
      <c r="S209">
        <v>1</v>
      </c>
      <c r="T209">
        <v>2</v>
      </c>
      <c r="U209" t="s">
        <v>57</v>
      </c>
      <c r="V209" t="s">
        <v>819</v>
      </c>
      <c r="W209" t="s">
        <v>820</v>
      </c>
      <c r="X209" t="s">
        <v>339</v>
      </c>
      <c r="Y209">
        <v>141</v>
      </c>
      <c r="Z209" t="s">
        <v>42</v>
      </c>
      <c r="AA209" t="s">
        <v>739</v>
      </c>
      <c r="AB209" t="s">
        <v>44</v>
      </c>
    </row>
    <row r="210" spans="1:28" ht="20" customHeight="1">
      <c r="A210" t="s">
        <v>334</v>
      </c>
      <c r="B210" t="s">
        <v>335</v>
      </c>
      <c r="C210" t="s">
        <v>821</v>
      </c>
      <c r="D210" s="7">
        <v>46267.29513888889</v>
      </c>
      <c r="E210" t="s">
        <v>47</v>
      </c>
      <c r="F210" t="s">
        <v>34</v>
      </c>
      <c r="G210" t="s">
        <v>35</v>
      </c>
      <c r="I210" t="s">
        <v>132</v>
      </c>
      <c r="J210" t="s">
        <v>68</v>
      </c>
      <c r="K210" s="8">
        <v>9376.25</v>
      </c>
      <c r="L210" s="8">
        <v>0</v>
      </c>
      <c r="M210" s="8">
        <v>10501.4</v>
      </c>
      <c r="N210">
        <v>0</v>
      </c>
      <c r="O210">
        <v>1</v>
      </c>
      <c r="P210" s="8">
        <v>0</v>
      </c>
      <c r="Q210" s="8">
        <v>9376.25</v>
      </c>
      <c r="R210" s="8">
        <v>0</v>
      </c>
      <c r="S210">
        <v>1</v>
      </c>
      <c r="T210">
        <v>4</v>
      </c>
      <c r="U210" t="s">
        <v>375</v>
      </c>
      <c r="V210" t="s">
        <v>822</v>
      </c>
      <c r="W210" t="s">
        <v>823</v>
      </c>
      <c r="X210" t="s">
        <v>339</v>
      </c>
      <c r="Y210">
        <v>142</v>
      </c>
      <c r="Z210" t="s">
        <v>42</v>
      </c>
      <c r="AA210" t="s">
        <v>824</v>
      </c>
      <c r="AB210" t="s">
        <v>44</v>
      </c>
    </row>
    <row r="211" spans="1:28" ht="20" customHeight="1">
      <c r="A211" t="s">
        <v>334</v>
      </c>
      <c r="B211" t="s">
        <v>340</v>
      </c>
      <c r="C211" t="s">
        <v>825</v>
      </c>
      <c r="D211" s="7">
        <v>46267.63611111111</v>
      </c>
      <c r="E211" t="s">
        <v>47</v>
      </c>
      <c r="F211" t="s">
        <v>34</v>
      </c>
      <c r="G211" t="s">
        <v>35</v>
      </c>
      <c r="I211" t="s">
        <v>48</v>
      </c>
      <c r="J211" t="s">
        <v>49</v>
      </c>
      <c r="K211" s="8">
        <v>2281.25</v>
      </c>
      <c r="L211" s="8">
        <v>2281.25</v>
      </c>
      <c r="M211" s="8">
        <v>2555</v>
      </c>
      <c r="N211">
        <v>1</v>
      </c>
      <c r="O211">
        <v>0</v>
      </c>
      <c r="P211" s="8">
        <v>0</v>
      </c>
      <c r="Q211" s="8">
        <v>0</v>
      </c>
      <c r="R211" s="8">
        <v>0</v>
      </c>
      <c r="S211">
        <v>1</v>
      </c>
      <c r="T211">
        <v>1</v>
      </c>
      <c r="U211" t="s">
        <v>57</v>
      </c>
      <c r="V211" t="s">
        <v>826</v>
      </c>
      <c r="W211" t="s">
        <v>827</v>
      </c>
      <c r="X211" t="s">
        <v>339</v>
      </c>
      <c r="Y211">
        <v>143</v>
      </c>
      <c r="Z211" t="s">
        <v>42</v>
      </c>
      <c r="AA211" t="s">
        <v>828</v>
      </c>
      <c r="AB211" t="s">
        <v>44</v>
      </c>
    </row>
    <row r="212" spans="1:28" ht="20" customHeight="1">
      <c r="A212" t="s">
        <v>334</v>
      </c>
      <c r="B212" t="s">
        <v>335</v>
      </c>
      <c r="C212" t="s">
        <v>829</v>
      </c>
      <c r="D212" s="7"/>
      <c r="E212" t="s">
        <v>200</v>
      </c>
      <c r="F212" t="s">
        <v>569</v>
      </c>
      <c r="G212" t="s">
        <v>570</v>
      </c>
      <c r="H212" t="s">
        <v>570</v>
      </c>
      <c r="I212" t="s">
        <v>570</v>
      </c>
      <c r="J212" t="s">
        <v>570</v>
      </c>
      <c r="K212" s="8"/>
      <c r="L212" s="8"/>
      <c r="M212" s="8"/>
      <c r="N212">
        <v>0</v>
      </c>
      <c r="O212">
        <v>0</v>
      </c>
      <c r="P212" s="8"/>
      <c r="Q212" s="8"/>
      <c r="R212" s="8"/>
      <c r="S212">
        <v>1</v>
      </c>
      <c r="W212" t="s">
        <v>830</v>
      </c>
      <c r="X212" t="s">
        <v>339</v>
      </c>
      <c r="Y212">
        <v>144</v>
      </c>
      <c r="AB212" t="s">
        <v>570</v>
      </c>
    </row>
    <row r="213" spans="1:28" ht="20" customHeight="1">
      <c r="A213" t="s">
        <v>334</v>
      </c>
      <c r="B213" t="s">
        <v>335</v>
      </c>
      <c r="C213" t="s">
        <v>831</v>
      </c>
      <c r="D213" s="7">
        <v>46267.7</v>
      </c>
      <c r="E213" t="s">
        <v>47</v>
      </c>
      <c r="F213" t="s">
        <v>34</v>
      </c>
      <c r="G213" t="s">
        <v>35</v>
      </c>
      <c r="H213" t="s">
        <v>63</v>
      </c>
      <c r="I213" t="s">
        <v>48</v>
      </c>
      <c r="J213" t="s">
        <v>49</v>
      </c>
      <c r="K213" s="8">
        <v>15366.61</v>
      </c>
      <c r="L213" s="8">
        <v>15366.61</v>
      </c>
      <c r="M213" s="8">
        <v>17210.6</v>
      </c>
      <c r="N213">
        <v>1</v>
      </c>
      <c r="O213">
        <v>0</v>
      </c>
      <c r="P213" s="8">
        <v>0</v>
      </c>
      <c r="Q213" s="8">
        <v>0</v>
      </c>
      <c r="R213" s="8">
        <v>0</v>
      </c>
      <c r="S213">
        <v>1</v>
      </c>
      <c r="T213">
        <v>2</v>
      </c>
      <c r="U213" t="s">
        <v>127</v>
      </c>
      <c r="V213" t="s">
        <v>832</v>
      </c>
      <c r="W213" t="s">
        <v>833</v>
      </c>
      <c r="X213" t="s">
        <v>339</v>
      </c>
      <c r="Y213">
        <v>145</v>
      </c>
      <c r="Z213" t="s">
        <v>42</v>
      </c>
      <c r="AA213" t="s">
        <v>182</v>
      </c>
      <c r="AB213" t="s">
        <v>44</v>
      </c>
    </row>
    <row r="214" spans="1:28" ht="20" customHeight="1">
      <c r="A214" t="s">
        <v>334</v>
      </c>
      <c r="B214" t="s">
        <v>340</v>
      </c>
      <c r="C214" t="s">
        <v>834</v>
      </c>
      <c r="D214" s="7">
        <v>46267.75486111111</v>
      </c>
      <c r="E214" t="s">
        <v>47</v>
      </c>
      <c r="F214" t="s">
        <v>34</v>
      </c>
      <c r="G214" t="s">
        <v>35</v>
      </c>
      <c r="H214" t="s">
        <v>35</v>
      </c>
      <c r="I214" t="s">
        <v>132</v>
      </c>
      <c r="J214" t="s">
        <v>68</v>
      </c>
      <c r="K214" s="8">
        <v>19089.46</v>
      </c>
      <c r="L214" s="8">
        <v>0</v>
      </c>
      <c r="M214" s="8">
        <v>21380.2</v>
      </c>
      <c r="N214">
        <v>0</v>
      </c>
      <c r="O214">
        <v>1</v>
      </c>
      <c r="P214" s="8">
        <v>0</v>
      </c>
      <c r="Q214" s="8">
        <v>19089.46</v>
      </c>
      <c r="R214" s="8">
        <v>0</v>
      </c>
      <c r="S214">
        <v>1</v>
      </c>
      <c r="T214">
        <v>4</v>
      </c>
      <c r="U214" t="s">
        <v>101</v>
      </c>
      <c r="V214" t="s">
        <v>835</v>
      </c>
      <c r="W214" t="s">
        <v>836</v>
      </c>
      <c r="X214" t="s">
        <v>339</v>
      </c>
      <c r="Y214">
        <v>146</v>
      </c>
      <c r="Z214" t="s">
        <v>42</v>
      </c>
      <c r="AA214" t="s">
        <v>824</v>
      </c>
      <c r="AB214" t="s">
        <v>44</v>
      </c>
    </row>
    <row r="215" spans="1:28" ht="20" customHeight="1">
      <c r="A215" t="s">
        <v>334</v>
      </c>
      <c r="B215" t="s">
        <v>340</v>
      </c>
      <c r="C215" t="s">
        <v>837</v>
      </c>
      <c r="D215" s="7">
        <v>46267.89861111111</v>
      </c>
      <c r="E215" t="s">
        <v>47</v>
      </c>
      <c r="F215" t="s">
        <v>34</v>
      </c>
      <c r="G215" t="s">
        <v>35</v>
      </c>
      <c r="H215" t="s">
        <v>35</v>
      </c>
      <c r="I215" t="s">
        <v>132</v>
      </c>
      <c r="J215" t="s">
        <v>68</v>
      </c>
      <c r="K215" s="8">
        <v>9598.209999999999</v>
      </c>
      <c r="L215" s="8">
        <v>0</v>
      </c>
      <c r="M215" s="8">
        <v>10750</v>
      </c>
      <c r="N215">
        <v>0</v>
      </c>
      <c r="O215">
        <v>1</v>
      </c>
      <c r="P215" s="8">
        <v>0</v>
      </c>
      <c r="Q215" s="8">
        <v>9598.209999999999</v>
      </c>
      <c r="R215" s="8">
        <v>0</v>
      </c>
      <c r="S215">
        <v>1</v>
      </c>
      <c r="T215">
        <v>1</v>
      </c>
      <c r="U215" t="s">
        <v>127</v>
      </c>
      <c r="V215" t="s">
        <v>640</v>
      </c>
      <c r="W215" t="s">
        <v>838</v>
      </c>
      <c r="X215" t="s">
        <v>339</v>
      </c>
      <c r="Y215">
        <v>147</v>
      </c>
      <c r="Z215" t="s">
        <v>42</v>
      </c>
      <c r="AA215" t="s">
        <v>824</v>
      </c>
      <c r="AB215" t="s">
        <v>44</v>
      </c>
    </row>
    <row r="216" spans="1:28" ht="20" customHeight="1">
      <c r="A216" t="s">
        <v>334</v>
      </c>
      <c r="B216" t="s">
        <v>340</v>
      </c>
      <c r="C216" t="s">
        <v>839</v>
      </c>
      <c r="D216" s="7">
        <v>46268.35763888889</v>
      </c>
      <c r="E216" t="s">
        <v>47</v>
      </c>
      <c r="F216" t="s">
        <v>34</v>
      </c>
      <c r="G216" t="s">
        <v>35</v>
      </c>
      <c r="H216" t="s">
        <v>35</v>
      </c>
      <c r="I216" t="s">
        <v>132</v>
      </c>
      <c r="J216" t="s">
        <v>68</v>
      </c>
      <c r="K216" s="8">
        <v>13258.93</v>
      </c>
      <c r="L216" s="8">
        <v>0</v>
      </c>
      <c r="M216" s="8">
        <v>14850</v>
      </c>
      <c r="N216">
        <v>0</v>
      </c>
      <c r="O216">
        <v>1</v>
      </c>
      <c r="P216" s="8">
        <v>0</v>
      </c>
      <c r="Q216" s="8">
        <v>13258.93</v>
      </c>
      <c r="R216" s="8">
        <v>0</v>
      </c>
      <c r="S216">
        <v>1</v>
      </c>
      <c r="T216">
        <v>4</v>
      </c>
      <c r="U216" t="s">
        <v>80</v>
      </c>
      <c r="V216" t="s">
        <v>114</v>
      </c>
      <c r="W216" t="s">
        <v>840</v>
      </c>
      <c r="X216" t="s">
        <v>339</v>
      </c>
      <c r="Y216">
        <v>148</v>
      </c>
      <c r="Z216" t="s">
        <v>42</v>
      </c>
      <c r="AA216" t="s">
        <v>841</v>
      </c>
      <c r="AB216" t="s">
        <v>44</v>
      </c>
    </row>
    <row r="217" spans="1:28" ht="20" customHeight="1">
      <c r="A217" t="s">
        <v>334</v>
      </c>
      <c r="B217" t="s">
        <v>340</v>
      </c>
      <c r="C217" t="s">
        <v>842</v>
      </c>
      <c r="D217" s="7">
        <v>46268.50763888889</v>
      </c>
      <c r="E217" t="s">
        <v>47</v>
      </c>
      <c r="F217" t="s">
        <v>34</v>
      </c>
      <c r="G217" t="s">
        <v>35</v>
      </c>
      <c r="H217" t="s">
        <v>35</v>
      </c>
      <c r="I217" t="s">
        <v>132</v>
      </c>
      <c r="J217" t="s">
        <v>68</v>
      </c>
      <c r="K217" s="8">
        <v>19124.11</v>
      </c>
      <c r="L217" s="8">
        <v>0</v>
      </c>
      <c r="M217" s="8">
        <v>21419</v>
      </c>
      <c r="N217">
        <v>0</v>
      </c>
      <c r="O217">
        <v>1</v>
      </c>
      <c r="P217" s="8">
        <v>0</v>
      </c>
      <c r="Q217" s="8">
        <v>19124.11</v>
      </c>
      <c r="R217" s="8">
        <v>0</v>
      </c>
      <c r="S217">
        <v>1</v>
      </c>
      <c r="T217">
        <v>4</v>
      </c>
      <c r="U217" t="s">
        <v>299</v>
      </c>
      <c r="V217" t="s">
        <v>843</v>
      </c>
      <c r="W217" t="s">
        <v>844</v>
      </c>
      <c r="X217" t="s">
        <v>339</v>
      </c>
      <c r="Y217">
        <v>149</v>
      </c>
      <c r="Z217" t="s">
        <v>42</v>
      </c>
      <c r="AA217" t="s">
        <v>824</v>
      </c>
      <c r="AB217" t="s">
        <v>44</v>
      </c>
    </row>
    <row r="218" spans="1:28" ht="20" customHeight="1">
      <c r="A218" t="s">
        <v>334</v>
      </c>
      <c r="B218" t="s">
        <v>340</v>
      </c>
      <c r="C218" t="s">
        <v>845</v>
      </c>
      <c r="D218" s="7">
        <v>46268.71736111111</v>
      </c>
      <c r="E218" t="s">
        <v>47</v>
      </c>
      <c r="F218" t="s">
        <v>34</v>
      </c>
      <c r="G218" t="s">
        <v>35</v>
      </c>
      <c r="H218" t="s">
        <v>35</v>
      </c>
      <c r="I218" t="s">
        <v>132</v>
      </c>
      <c r="J218" t="s">
        <v>68</v>
      </c>
      <c r="K218" s="8">
        <v>13969.11</v>
      </c>
      <c r="L218" s="8">
        <v>0</v>
      </c>
      <c r="M218" s="8">
        <v>15645.4</v>
      </c>
      <c r="N218">
        <v>0</v>
      </c>
      <c r="O218">
        <v>1</v>
      </c>
      <c r="P218" s="8">
        <v>0</v>
      </c>
      <c r="Q218" s="8">
        <v>13969.11</v>
      </c>
      <c r="R218" s="8">
        <v>0</v>
      </c>
      <c r="S218">
        <v>1</v>
      </c>
      <c r="T218">
        <v>4</v>
      </c>
      <c r="U218" t="s">
        <v>80</v>
      </c>
      <c r="V218" t="s">
        <v>846</v>
      </c>
      <c r="W218" t="s">
        <v>847</v>
      </c>
      <c r="X218" t="s">
        <v>339</v>
      </c>
      <c r="Y218">
        <v>150</v>
      </c>
      <c r="Z218" t="s">
        <v>42</v>
      </c>
      <c r="AA218" t="s">
        <v>824</v>
      </c>
      <c r="AB218" t="s">
        <v>44</v>
      </c>
    </row>
    <row r="219" spans="1:28" ht="20" customHeight="1">
      <c r="A219" t="s">
        <v>334</v>
      </c>
      <c r="B219" t="s">
        <v>335</v>
      </c>
      <c r="C219" t="s">
        <v>848</v>
      </c>
      <c r="D219" s="7">
        <v>46268.74652777778</v>
      </c>
      <c r="E219" t="s">
        <v>47</v>
      </c>
      <c r="F219" t="s">
        <v>34</v>
      </c>
      <c r="G219" t="s">
        <v>35</v>
      </c>
      <c r="I219" t="s">
        <v>132</v>
      </c>
      <c r="J219" t="s">
        <v>68</v>
      </c>
      <c r="K219" s="8">
        <v>15181.61</v>
      </c>
      <c r="L219" s="8">
        <v>0</v>
      </c>
      <c r="M219" s="8">
        <v>17003.4</v>
      </c>
      <c r="N219">
        <v>0</v>
      </c>
      <c r="O219">
        <v>1</v>
      </c>
      <c r="P219" s="8">
        <v>0</v>
      </c>
      <c r="Q219" s="8">
        <v>15181.61</v>
      </c>
      <c r="R219" s="8">
        <v>0</v>
      </c>
      <c r="S219">
        <v>1</v>
      </c>
      <c r="T219">
        <v>4</v>
      </c>
      <c r="U219" t="s">
        <v>80</v>
      </c>
      <c r="V219" t="s">
        <v>494</v>
      </c>
      <c r="W219" t="s">
        <v>849</v>
      </c>
      <c r="X219" t="s">
        <v>339</v>
      </c>
      <c r="Y219">
        <v>151</v>
      </c>
      <c r="Z219" t="s">
        <v>42</v>
      </c>
      <c r="AA219" t="s">
        <v>297</v>
      </c>
      <c r="AB219" t="s">
        <v>44</v>
      </c>
    </row>
    <row r="220" spans="1:28" ht="20" customHeight="1">
      <c r="A220" t="s">
        <v>334</v>
      </c>
      <c r="B220" t="s">
        <v>335</v>
      </c>
      <c r="C220" t="s">
        <v>850</v>
      </c>
      <c r="D220" s="7">
        <v>46269.80555555555</v>
      </c>
      <c r="E220" t="s">
        <v>47</v>
      </c>
      <c r="F220" t="s">
        <v>34</v>
      </c>
      <c r="G220" t="s">
        <v>35</v>
      </c>
      <c r="H220" t="s">
        <v>35</v>
      </c>
      <c r="I220" t="s">
        <v>132</v>
      </c>
      <c r="J220" t="s">
        <v>68</v>
      </c>
      <c r="K220" s="8">
        <v>18318.75</v>
      </c>
      <c r="L220" s="8">
        <v>0</v>
      </c>
      <c r="M220" s="8">
        <v>20517</v>
      </c>
      <c r="N220">
        <v>0</v>
      </c>
      <c r="O220">
        <v>1</v>
      </c>
      <c r="P220" s="8">
        <v>0</v>
      </c>
      <c r="Q220" s="8">
        <v>18318.75</v>
      </c>
      <c r="R220" s="8">
        <v>0</v>
      </c>
      <c r="S220">
        <v>1</v>
      </c>
      <c r="T220">
        <v>4</v>
      </c>
      <c r="U220" t="s">
        <v>80</v>
      </c>
      <c r="V220" t="s">
        <v>266</v>
      </c>
      <c r="W220" t="s">
        <v>851</v>
      </c>
      <c r="X220" t="s">
        <v>339</v>
      </c>
      <c r="Y220">
        <v>152</v>
      </c>
      <c r="Z220" t="s">
        <v>42</v>
      </c>
      <c r="AA220" t="s">
        <v>841</v>
      </c>
      <c r="AB220" t="s">
        <v>44</v>
      </c>
    </row>
    <row r="221" spans="1:28" ht="20" customHeight="1">
      <c r="A221" t="s">
        <v>334</v>
      </c>
      <c r="B221" t="s">
        <v>335</v>
      </c>
      <c r="C221" t="s">
        <v>852</v>
      </c>
      <c r="D221" s="7">
        <v>46269.90555555555</v>
      </c>
      <c r="E221" t="s">
        <v>47</v>
      </c>
      <c r="F221" t="s">
        <v>34</v>
      </c>
      <c r="G221" t="s">
        <v>35</v>
      </c>
      <c r="I221" t="s">
        <v>132</v>
      </c>
      <c r="J221" t="s">
        <v>68</v>
      </c>
      <c r="K221" s="8">
        <v>15961.79</v>
      </c>
      <c r="L221" s="8">
        <v>0</v>
      </c>
      <c r="M221" s="8">
        <v>17877.2</v>
      </c>
      <c r="N221">
        <v>0</v>
      </c>
      <c r="O221">
        <v>1</v>
      </c>
      <c r="P221" s="8">
        <v>0</v>
      </c>
      <c r="Q221" s="8">
        <v>15961.79</v>
      </c>
      <c r="R221" s="8">
        <v>0</v>
      </c>
      <c r="S221">
        <v>1</v>
      </c>
      <c r="T221">
        <v>4</v>
      </c>
      <c r="U221" t="s">
        <v>80</v>
      </c>
      <c r="V221" t="s">
        <v>461</v>
      </c>
      <c r="W221" t="s">
        <v>853</v>
      </c>
      <c r="X221" t="s">
        <v>339</v>
      </c>
      <c r="Y221">
        <v>153</v>
      </c>
      <c r="Z221" t="s">
        <v>42</v>
      </c>
      <c r="AA221" t="s">
        <v>854</v>
      </c>
      <c r="AB221" t="s">
        <v>44</v>
      </c>
    </row>
    <row r="222" spans="1:28" ht="20" customHeight="1">
      <c r="A222" t="s">
        <v>334</v>
      </c>
      <c r="B222" t="s">
        <v>335</v>
      </c>
      <c r="C222" t="s">
        <v>855</v>
      </c>
      <c r="D222" s="7">
        <v>46269.92222222222</v>
      </c>
      <c r="E222" t="s">
        <v>47</v>
      </c>
      <c r="F222" t="s">
        <v>34</v>
      </c>
      <c r="G222" t="s">
        <v>35</v>
      </c>
      <c r="I222" t="s">
        <v>132</v>
      </c>
      <c r="J222" t="s">
        <v>68</v>
      </c>
      <c r="K222" s="8">
        <v>9807.59</v>
      </c>
      <c r="L222" s="8">
        <v>0</v>
      </c>
      <c r="M222" s="8">
        <v>10984.5</v>
      </c>
      <c r="N222">
        <v>0</v>
      </c>
      <c r="O222">
        <v>1</v>
      </c>
      <c r="P222" s="8">
        <v>0</v>
      </c>
      <c r="Q222" s="8">
        <v>9807.59</v>
      </c>
      <c r="R222" s="8">
        <v>0</v>
      </c>
      <c r="S222">
        <v>1</v>
      </c>
      <c r="T222">
        <v>2</v>
      </c>
      <c r="U222" t="s">
        <v>57</v>
      </c>
      <c r="V222" t="s">
        <v>856</v>
      </c>
      <c r="W222" t="s">
        <v>857</v>
      </c>
      <c r="X222" t="s">
        <v>339</v>
      </c>
      <c r="Y222">
        <v>154</v>
      </c>
      <c r="Z222" t="s">
        <v>42</v>
      </c>
      <c r="AA222" t="s">
        <v>302</v>
      </c>
      <c r="AB222" t="s">
        <v>44</v>
      </c>
    </row>
    <row r="223" spans="1:28" ht="20" customHeight="1">
      <c r="A223" t="s">
        <v>334</v>
      </c>
      <c r="B223" t="s">
        <v>340</v>
      </c>
      <c r="C223" t="s">
        <v>858</v>
      </c>
      <c r="D223" s="7">
        <v>46270.69236111111</v>
      </c>
      <c r="E223" t="s">
        <v>47</v>
      </c>
      <c r="F223" t="s">
        <v>34</v>
      </c>
      <c r="G223" t="s">
        <v>35</v>
      </c>
      <c r="H223" t="s">
        <v>35</v>
      </c>
      <c r="I223" t="s">
        <v>132</v>
      </c>
      <c r="J223" t="s">
        <v>68</v>
      </c>
      <c r="K223" s="8">
        <v>9538.75</v>
      </c>
      <c r="L223" s="8">
        <v>0</v>
      </c>
      <c r="M223" s="8">
        <v>10683.4</v>
      </c>
      <c r="N223">
        <v>0</v>
      </c>
      <c r="O223">
        <v>1</v>
      </c>
      <c r="P223" s="8">
        <v>0</v>
      </c>
      <c r="Q223" s="8">
        <v>9538.75</v>
      </c>
      <c r="R223" s="8">
        <v>0</v>
      </c>
      <c r="S223">
        <v>1</v>
      </c>
      <c r="T223">
        <v>4</v>
      </c>
      <c r="U223" t="s">
        <v>57</v>
      </c>
      <c r="V223" t="s">
        <v>58</v>
      </c>
      <c r="W223" t="s">
        <v>859</v>
      </c>
      <c r="X223" t="s">
        <v>339</v>
      </c>
      <c r="Y223">
        <v>155</v>
      </c>
      <c r="Z223" t="s">
        <v>42</v>
      </c>
      <c r="AA223" t="s">
        <v>297</v>
      </c>
      <c r="AB223" t="s">
        <v>44</v>
      </c>
    </row>
    <row r="224" spans="1:28" ht="20" customHeight="1">
      <c r="A224" t="s">
        <v>334</v>
      </c>
      <c r="B224" t="s">
        <v>335</v>
      </c>
      <c r="C224" t="s">
        <v>860</v>
      </c>
      <c r="D224" s="7">
        <v>46271.19444444445</v>
      </c>
      <c r="E224" t="s">
        <v>47</v>
      </c>
      <c r="F224" t="s">
        <v>34</v>
      </c>
      <c r="G224" t="s">
        <v>35</v>
      </c>
      <c r="H224" t="s">
        <v>35</v>
      </c>
      <c r="I224" t="s">
        <v>132</v>
      </c>
      <c r="J224" t="s">
        <v>68</v>
      </c>
      <c r="K224" s="8">
        <v>32424.11</v>
      </c>
      <c r="L224" s="8">
        <v>0</v>
      </c>
      <c r="M224" s="8">
        <v>36315</v>
      </c>
      <c r="N224">
        <v>0</v>
      </c>
      <c r="O224">
        <v>1</v>
      </c>
      <c r="P224" s="8">
        <v>0</v>
      </c>
      <c r="Q224" s="8">
        <v>32424.11</v>
      </c>
      <c r="R224" s="8">
        <v>0</v>
      </c>
      <c r="S224">
        <v>1</v>
      </c>
      <c r="T224">
        <v>4</v>
      </c>
      <c r="U224" t="s">
        <v>50</v>
      </c>
      <c r="V224" t="s">
        <v>307</v>
      </c>
      <c r="W224" t="s">
        <v>861</v>
      </c>
      <c r="X224" t="s">
        <v>339</v>
      </c>
      <c r="Y224">
        <v>156</v>
      </c>
      <c r="Z224" t="s">
        <v>42</v>
      </c>
      <c r="AA224" t="s">
        <v>322</v>
      </c>
      <c r="AB224" t="s">
        <v>44</v>
      </c>
    </row>
    <row r="225" spans="1:28" ht="20" customHeight="1">
      <c r="A225" t="s">
        <v>334</v>
      </c>
      <c r="B225" t="s">
        <v>335</v>
      </c>
      <c r="C225" t="s">
        <v>862</v>
      </c>
      <c r="D225" s="7">
        <v>46271.71875</v>
      </c>
      <c r="E225" t="s">
        <v>47</v>
      </c>
      <c r="F225" t="s">
        <v>34</v>
      </c>
      <c r="G225" t="s">
        <v>35</v>
      </c>
      <c r="H225" t="s">
        <v>35</v>
      </c>
      <c r="I225" t="s">
        <v>132</v>
      </c>
      <c r="J225" t="s">
        <v>68</v>
      </c>
      <c r="K225" s="8">
        <v>12378.21</v>
      </c>
      <c r="L225" s="8">
        <v>0</v>
      </c>
      <c r="M225" s="8">
        <v>13863.6</v>
      </c>
      <c r="N225">
        <v>0</v>
      </c>
      <c r="O225">
        <v>1</v>
      </c>
      <c r="P225" s="8">
        <v>0</v>
      </c>
      <c r="Q225" s="8">
        <v>12378.21</v>
      </c>
      <c r="R225" s="8">
        <v>0</v>
      </c>
      <c r="S225">
        <v>1</v>
      </c>
      <c r="T225">
        <v>4</v>
      </c>
      <c r="U225" t="s">
        <v>80</v>
      </c>
      <c r="V225" t="s">
        <v>249</v>
      </c>
      <c r="W225" t="s">
        <v>863</v>
      </c>
      <c r="X225" t="s">
        <v>339</v>
      </c>
      <c r="Y225">
        <v>157</v>
      </c>
      <c r="Z225" t="s">
        <v>42</v>
      </c>
      <c r="AA225" t="s">
        <v>322</v>
      </c>
      <c r="AB225" t="s">
        <v>44</v>
      </c>
    </row>
    <row r="226" spans="1:28" ht="20" customHeight="1">
      <c r="A226" t="s">
        <v>334</v>
      </c>
      <c r="B226" t="s">
        <v>335</v>
      </c>
      <c r="C226" t="s">
        <v>864</v>
      </c>
      <c r="D226" s="7">
        <v>46272.53125</v>
      </c>
      <c r="E226" t="s">
        <v>47</v>
      </c>
      <c r="F226" t="s">
        <v>34</v>
      </c>
      <c r="G226" t="s">
        <v>35</v>
      </c>
      <c r="I226" t="s">
        <v>48</v>
      </c>
      <c r="J226" t="s">
        <v>49</v>
      </c>
      <c r="K226" s="8">
        <v>5090.54</v>
      </c>
      <c r="L226" s="8">
        <v>5090.54</v>
      </c>
      <c r="M226" s="8">
        <v>5701.4</v>
      </c>
      <c r="N226">
        <v>1</v>
      </c>
      <c r="O226">
        <v>0</v>
      </c>
      <c r="P226" s="8">
        <v>0</v>
      </c>
      <c r="Q226" s="8">
        <v>0</v>
      </c>
      <c r="R226" s="8">
        <v>0</v>
      </c>
      <c r="S226">
        <v>1</v>
      </c>
      <c r="T226">
        <v>2</v>
      </c>
      <c r="U226" t="s">
        <v>75</v>
      </c>
      <c r="V226" t="s">
        <v>865</v>
      </c>
      <c r="W226" t="s">
        <v>866</v>
      </c>
      <c r="X226" t="s">
        <v>339</v>
      </c>
      <c r="Y226">
        <v>158</v>
      </c>
      <c r="Z226" t="s">
        <v>42</v>
      </c>
      <c r="AA226" t="s">
        <v>867</v>
      </c>
      <c r="AB226" t="s">
        <v>44</v>
      </c>
    </row>
    <row r="227" spans="1:28" ht="20" customHeight="1">
      <c r="A227" t="s">
        <v>334</v>
      </c>
      <c r="B227" t="s">
        <v>335</v>
      </c>
      <c r="C227" t="s">
        <v>868</v>
      </c>
      <c r="D227" s="7">
        <v>46272.83402777778</v>
      </c>
      <c r="E227" t="s">
        <v>47</v>
      </c>
      <c r="F227" t="s">
        <v>34</v>
      </c>
      <c r="G227" t="s">
        <v>35</v>
      </c>
      <c r="I227" t="s">
        <v>132</v>
      </c>
      <c r="J227" t="s">
        <v>68</v>
      </c>
      <c r="K227" s="8">
        <v>23794.64</v>
      </c>
      <c r="L227" s="8">
        <v>0</v>
      </c>
      <c r="M227" s="8">
        <v>26650</v>
      </c>
      <c r="N227">
        <v>0</v>
      </c>
      <c r="O227">
        <v>1</v>
      </c>
      <c r="P227" s="8">
        <v>0</v>
      </c>
      <c r="Q227" s="8">
        <v>23794.64</v>
      </c>
      <c r="R227" s="8">
        <v>0</v>
      </c>
      <c r="S227">
        <v>1</v>
      </c>
      <c r="T227">
        <v>2</v>
      </c>
      <c r="U227" t="s">
        <v>50</v>
      </c>
      <c r="V227" t="s">
        <v>869</v>
      </c>
      <c r="W227" t="s">
        <v>870</v>
      </c>
      <c r="X227" t="s">
        <v>339</v>
      </c>
      <c r="Y227">
        <v>159</v>
      </c>
      <c r="Z227" t="s">
        <v>42</v>
      </c>
      <c r="AA227" t="s">
        <v>322</v>
      </c>
      <c r="AB227" t="s">
        <v>44</v>
      </c>
    </row>
    <row r="228" spans="1:28" ht="20" customHeight="1">
      <c r="A228" t="s">
        <v>334</v>
      </c>
      <c r="B228" t="s">
        <v>340</v>
      </c>
      <c r="C228" t="s">
        <v>871</v>
      </c>
      <c r="D228" s="7">
        <v>46272.90138888889</v>
      </c>
      <c r="E228" t="s">
        <v>47</v>
      </c>
      <c r="F228" t="s">
        <v>34</v>
      </c>
      <c r="G228" t="s">
        <v>35</v>
      </c>
      <c r="H228" t="s">
        <v>35</v>
      </c>
      <c r="I228" t="s">
        <v>132</v>
      </c>
      <c r="J228" t="s">
        <v>68</v>
      </c>
      <c r="K228" s="8">
        <v>6098.21</v>
      </c>
      <c r="L228" s="8">
        <v>0</v>
      </c>
      <c r="M228" s="8">
        <v>6830</v>
      </c>
      <c r="N228">
        <v>0</v>
      </c>
      <c r="O228">
        <v>1</v>
      </c>
      <c r="P228" s="8">
        <v>0</v>
      </c>
      <c r="Q228" s="8">
        <v>6098.21</v>
      </c>
      <c r="R228" s="8">
        <v>0</v>
      </c>
      <c r="S228">
        <v>1</v>
      </c>
      <c r="T228">
        <v>2</v>
      </c>
      <c r="U228" t="s">
        <v>57</v>
      </c>
      <c r="V228" t="s">
        <v>819</v>
      </c>
      <c r="W228" t="s">
        <v>872</v>
      </c>
      <c r="X228" t="s">
        <v>339</v>
      </c>
      <c r="Y228">
        <v>160</v>
      </c>
      <c r="Z228" t="s">
        <v>42</v>
      </c>
      <c r="AA228" t="s">
        <v>322</v>
      </c>
      <c r="AB228" t="s">
        <v>44</v>
      </c>
    </row>
    <row r="229" spans="1:28" ht="20" customHeight="1">
      <c r="A229" t="s">
        <v>334</v>
      </c>
      <c r="B229" t="s">
        <v>335</v>
      </c>
      <c r="C229" t="s">
        <v>873</v>
      </c>
      <c r="D229" s="7">
        <v>46273.02569444444</v>
      </c>
      <c r="E229" t="s">
        <v>56</v>
      </c>
      <c r="F229" t="s">
        <v>34</v>
      </c>
      <c r="G229" t="s">
        <v>35</v>
      </c>
      <c r="H229" t="s">
        <v>35</v>
      </c>
      <c r="I229" t="s">
        <v>132</v>
      </c>
      <c r="J229" t="s">
        <v>68</v>
      </c>
      <c r="K229" s="8">
        <v>61138.39</v>
      </c>
      <c r="L229" s="8">
        <v>0</v>
      </c>
      <c r="M229" s="8">
        <v>68475</v>
      </c>
      <c r="N229">
        <v>0</v>
      </c>
      <c r="O229">
        <v>1</v>
      </c>
      <c r="P229" s="8">
        <v>0</v>
      </c>
      <c r="Q229" s="8">
        <v>61138.39</v>
      </c>
      <c r="R229" s="8">
        <v>0</v>
      </c>
      <c r="S229">
        <v>1</v>
      </c>
      <c r="T229">
        <v>4</v>
      </c>
      <c r="U229" t="s">
        <v>50</v>
      </c>
      <c r="V229" t="s">
        <v>874</v>
      </c>
      <c r="W229" t="s">
        <v>875</v>
      </c>
      <c r="X229" t="s">
        <v>339</v>
      </c>
      <c r="Y229">
        <v>161</v>
      </c>
      <c r="Z229" t="s">
        <v>42</v>
      </c>
      <c r="AA229" t="s">
        <v>876</v>
      </c>
      <c r="AB229" t="s">
        <v>44</v>
      </c>
    </row>
    <row r="230" spans="1:28" ht="20" customHeight="1">
      <c r="A230" t="s">
        <v>334</v>
      </c>
      <c r="B230" t="s">
        <v>335</v>
      </c>
      <c r="C230" t="s">
        <v>877</v>
      </c>
      <c r="D230" s="7">
        <v>46273.76597222222</v>
      </c>
      <c r="E230" t="s">
        <v>56</v>
      </c>
      <c r="F230" t="s">
        <v>34</v>
      </c>
      <c r="G230" t="s">
        <v>35</v>
      </c>
      <c r="H230" t="s">
        <v>35</v>
      </c>
      <c r="I230" t="s">
        <v>132</v>
      </c>
      <c r="J230" t="s">
        <v>68</v>
      </c>
      <c r="K230" s="8">
        <v>11871.16</v>
      </c>
      <c r="L230" s="8">
        <v>0</v>
      </c>
      <c r="M230" s="8">
        <v>13295.7</v>
      </c>
      <c r="N230">
        <v>0</v>
      </c>
      <c r="O230">
        <v>1</v>
      </c>
      <c r="P230" s="8">
        <v>0</v>
      </c>
      <c r="Q230" s="8">
        <v>11871.16</v>
      </c>
      <c r="R230" s="8">
        <v>0</v>
      </c>
      <c r="S230">
        <v>1</v>
      </c>
      <c r="T230">
        <v>2</v>
      </c>
      <c r="U230" t="s">
        <v>75</v>
      </c>
      <c r="V230" t="s">
        <v>878</v>
      </c>
      <c r="W230" t="s">
        <v>879</v>
      </c>
      <c r="X230" t="s">
        <v>339</v>
      </c>
      <c r="Y230">
        <v>162</v>
      </c>
      <c r="Z230" t="s">
        <v>42</v>
      </c>
      <c r="AA230" t="s">
        <v>876</v>
      </c>
      <c r="AB230" t="s">
        <v>44</v>
      </c>
    </row>
    <row r="231" spans="1:28" ht="20" customHeight="1">
      <c r="A231" t="s">
        <v>334</v>
      </c>
      <c r="B231" t="s">
        <v>340</v>
      </c>
      <c r="C231" t="s">
        <v>880</v>
      </c>
      <c r="D231" s="7">
        <v>46274.63263888889</v>
      </c>
      <c r="E231" t="s">
        <v>56</v>
      </c>
      <c r="F231" t="s">
        <v>34</v>
      </c>
      <c r="G231" t="s">
        <v>35</v>
      </c>
      <c r="I231" t="s">
        <v>132</v>
      </c>
      <c r="J231" t="s">
        <v>68</v>
      </c>
      <c r="K231" s="8">
        <v>19782.32</v>
      </c>
      <c r="L231" s="8">
        <v>0</v>
      </c>
      <c r="M231" s="8">
        <v>22156.2</v>
      </c>
      <c r="N231">
        <v>0</v>
      </c>
      <c r="O231">
        <v>1</v>
      </c>
      <c r="P231" s="8">
        <v>0</v>
      </c>
      <c r="Q231" s="8">
        <v>19782.32</v>
      </c>
      <c r="R231" s="8">
        <v>0</v>
      </c>
      <c r="S231">
        <v>1</v>
      </c>
      <c r="T231">
        <v>4</v>
      </c>
      <c r="U231" t="s">
        <v>75</v>
      </c>
      <c r="V231" t="s">
        <v>881</v>
      </c>
      <c r="W231" t="s">
        <v>882</v>
      </c>
      <c r="X231" t="s">
        <v>339</v>
      </c>
      <c r="Y231">
        <v>163</v>
      </c>
      <c r="Z231" t="s">
        <v>42</v>
      </c>
      <c r="AA231" t="s">
        <v>876</v>
      </c>
      <c r="AB231" t="s">
        <v>44</v>
      </c>
    </row>
    <row r="232" spans="1:28" ht="20" customHeight="1">
      <c r="A232" t="s">
        <v>334</v>
      </c>
      <c r="B232" t="s">
        <v>340</v>
      </c>
      <c r="C232" t="s">
        <v>883</v>
      </c>
      <c r="D232" s="7">
        <v>46274.76527777778</v>
      </c>
      <c r="E232" t="s">
        <v>56</v>
      </c>
      <c r="F232" t="s">
        <v>34</v>
      </c>
      <c r="G232" t="s">
        <v>35</v>
      </c>
      <c r="I232" t="s">
        <v>132</v>
      </c>
      <c r="J232" t="s">
        <v>68</v>
      </c>
      <c r="K232" s="8">
        <v>23196.43</v>
      </c>
      <c r="L232" s="8">
        <v>0</v>
      </c>
      <c r="M232" s="8">
        <v>25980</v>
      </c>
      <c r="N232">
        <v>0</v>
      </c>
      <c r="O232">
        <v>1</v>
      </c>
      <c r="P232" s="8">
        <v>0</v>
      </c>
      <c r="Q232" s="8">
        <v>23196.43</v>
      </c>
      <c r="R232" s="8">
        <v>0</v>
      </c>
      <c r="S232">
        <v>1</v>
      </c>
      <c r="T232">
        <v>4</v>
      </c>
      <c r="U232" t="s">
        <v>50</v>
      </c>
      <c r="V232" t="s">
        <v>884</v>
      </c>
      <c r="W232" t="s">
        <v>885</v>
      </c>
      <c r="X232" t="s">
        <v>339</v>
      </c>
      <c r="Y232">
        <v>164</v>
      </c>
      <c r="Z232" t="s">
        <v>42</v>
      </c>
      <c r="AA232" t="s">
        <v>886</v>
      </c>
      <c r="AB232" t="s">
        <v>44</v>
      </c>
    </row>
    <row r="233" spans="1:28" ht="20" customHeight="1">
      <c r="A233" t="s">
        <v>334</v>
      </c>
      <c r="B233" t="s">
        <v>340</v>
      </c>
      <c r="C233" t="s">
        <v>887</v>
      </c>
      <c r="D233" s="7">
        <v>46274.84513888889</v>
      </c>
      <c r="E233" t="s">
        <v>56</v>
      </c>
      <c r="F233" t="s">
        <v>34</v>
      </c>
      <c r="G233" t="s">
        <v>35</v>
      </c>
      <c r="I233" t="s">
        <v>132</v>
      </c>
      <c r="J233" t="s">
        <v>68</v>
      </c>
      <c r="K233" s="8">
        <v>7051.07</v>
      </c>
      <c r="L233" s="8">
        <v>0</v>
      </c>
      <c r="M233" s="8">
        <v>7897.2</v>
      </c>
      <c r="N233">
        <v>0</v>
      </c>
      <c r="O233">
        <v>1</v>
      </c>
      <c r="P233" s="8">
        <v>0</v>
      </c>
      <c r="Q233" s="8">
        <v>7051.07</v>
      </c>
      <c r="R233" s="8">
        <v>0</v>
      </c>
      <c r="S233">
        <v>1</v>
      </c>
      <c r="T233">
        <v>2</v>
      </c>
      <c r="U233" t="s">
        <v>697</v>
      </c>
      <c r="V233" t="s">
        <v>698</v>
      </c>
      <c r="W233" t="s">
        <v>888</v>
      </c>
      <c r="X233" t="s">
        <v>339</v>
      </c>
      <c r="Y233">
        <v>165</v>
      </c>
      <c r="Z233" t="s">
        <v>42</v>
      </c>
      <c r="AA233" t="s">
        <v>331</v>
      </c>
      <c r="AB233" t="s">
        <v>44</v>
      </c>
    </row>
    <row r="234" spans="1:28" ht="20" customHeight="1">
      <c r="A234" t="s">
        <v>334</v>
      </c>
      <c r="B234" t="s">
        <v>335</v>
      </c>
      <c r="C234" t="s">
        <v>889</v>
      </c>
      <c r="D234" s="7">
        <v>46275.09583333333</v>
      </c>
      <c r="E234" t="s">
        <v>56</v>
      </c>
      <c r="F234" t="s">
        <v>34</v>
      </c>
      <c r="G234" t="s">
        <v>35</v>
      </c>
      <c r="H234" t="s">
        <v>35</v>
      </c>
      <c r="I234" t="s">
        <v>132</v>
      </c>
      <c r="J234" t="s">
        <v>68</v>
      </c>
      <c r="K234" s="8">
        <v>23107.14</v>
      </c>
      <c r="L234" s="8">
        <v>0</v>
      </c>
      <c r="M234" s="8">
        <v>25880</v>
      </c>
      <c r="N234">
        <v>0</v>
      </c>
      <c r="O234">
        <v>1</v>
      </c>
      <c r="P234" s="8">
        <v>0</v>
      </c>
      <c r="Q234" s="8">
        <v>23107.14</v>
      </c>
      <c r="R234" s="8">
        <v>0</v>
      </c>
      <c r="S234">
        <v>1</v>
      </c>
      <c r="T234">
        <v>4</v>
      </c>
      <c r="U234" t="s">
        <v>50</v>
      </c>
      <c r="V234" t="s">
        <v>884</v>
      </c>
      <c r="W234" t="s">
        <v>890</v>
      </c>
      <c r="X234" t="s">
        <v>339</v>
      </c>
      <c r="Y234">
        <v>166</v>
      </c>
      <c r="Z234" t="s">
        <v>42</v>
      </c>
      <c r="AA234" t="s">
        <v>331</v>
      </c>
      <c r="AB234" t="s">
        <v>44</v>
      </c>
    </row>
    <row r="235" spans="1:28" ht="20" customHeight="1">
      <c r="A235" t="s">
        <v>334</v>
      </c>
      <c r="B235" t="s">
        <v>340</v>
      </c>
      <c r="C235" t="s">
        <v>891</v>
      </c>
      <c r="D235" s="7">
        <v>46275.4</v>
      </c>
      <c r="E235" t="s">
        <v>56</v>
      </c>
      <c r="F235" t="s">
        <v>34</v>
      </c>
      <c r="G235" t="s">
        <v>35</v>
      </c>
      <c r="H235" t="s">
        <v>35</v>
      </c>
      <c r="I235" t="s">
        <v>48</v>
      </c>
      <c r="J235" t="s">
        <v>49</v>
      </c>
      <c r="K235" s="8">
        <v>33294.64</v>
      </c>
      <c r="L235" s="8">
        <v>33294.64</v>
      </c>
      <c r="M235" s="8">
        <v>37290</v>
      </c>
      <c r="N235">
        <v>1</v>
      </c>
      <c r="O235">
        <v>0</v>
      </c>
      <c r="P235" s="8">
        <v>0</v>
      </c>
      <c r="Q235" s="8">
        <v>0</v>
      </c>
      <c r="R235" s="8">
        <v>0</v>
      </c>
      <c r="S235">
        <v>1</v>
      </c>
      <c r="T235">
        <v>4</v>
      </c>
      <c r="U235" t="s">
        <v>50</v>
      </c>
      <c r="V235" t="s">
        <v>892</v>
      </c>
      <c r="W235" t="s">
        <v>893</v>
      </c>
      <c r="X235" t="s">
        <v>339</v>
      </c>
      <c r="Y235">
        <v>167</v>
      </c>
      <c r="Z235" t="s">
        <v>42</v>
      </c>
      <c r="AA235" t="s">
        <v>424</v>
      </c>
      <c r="AB235" t="s">
        <v>44</v>
      </c>
    </row>
    <row r="236" spans="1:28" ht="20" customHeight="1">
      <c r="A236" t="s">
        <v>334</v>
      </c>
      <c r="B236" t="s">
        <v>335</v>
      </c>
      <c r="C236" t="s">
        <v>894</v>
      </c>
      <c r="D236" s="7">
        <v>46275.61597222222</v>
      </c>
      <c r="E236" t="s">
        <v>56</v>
      </c>
      <c r="F236" t="s">
        <v>34</v>
      </c>
      <c r="G236" t="s">
        <v>35</v>
      </c>
      <c r="I236" t="s">
        <v>48</v>
      </c>
      <c r="J236" t="s">
        <v>69</v>
      </c>
      <c r="K236" s="8">
        <v>22016.79</v>
      </c>
      <c r="L236" s="8">
        <v>22016.79</v>
      </c>
      <c r="M236" s="8">
        <v>24658.8</v>
      </c>
      <c r="N236">
        <v>1</v>
      </c>
      <c r="O236">
        <v>0</v>
      </c>
      <c r="P236" s="8">
        <v>0</v>
      </c>
      <c r="Q236" s="8">
        <v>0</v>
      </c>
      <c r="R236" s="8">
        <v>0</v>
      </c>
      <c r="S236">
        <v>1</v>
      </c>
      <c r="T236">
        <v>4</v>
      </c>
      <c r="U236" t="s">
        <v>127</v>
      </c>
      <c r="V236" t="s">
        <v>895</v>
      </c>
      <c r="W236" t="s">
        <v>896</v>
      </c>
      <c r="X236" t="s">
        <v>339</v>
      </c>
      <c r="Y236">
        <v>168</v>
      </c>
      <c r="Z236" t="s">
        <v>42</v>
      </c>
      <c r="AA236" t="s">
        <v>897</v>
      </c>
      <c r="AB236" t="s">
        <v>44</v>
      </c>
    </row>
    <row r="237" spans="1:28" ht="20" customHeight="1">
      <c r="A237" t="s">
        <v>334</v>
      </c>
      <c r="B237" t="s">
        <v>340</v>
      </c>
      <c r="C237" t="s">
        <v>898</v>
      </c>
      <c r="D237" s="7">
        <v>46275.9375</v>
      </c>
      <c r="E237" t="s">
        <v>56</v>
      </c>
      <c r="F237" t="s">
        <v>34</v>
      </c>
      <c r="G237" t="s">
        <v>35</v>
      </c>
      <c r="I237" t="s">
        <v>132</v>
      </c>
      <c r="J237" t="s">
        <v>68</v>
      </c>
      <c r="K237" s="8">
        <v>21547.86</v>
      </c>
      <c r="L237" s="8">
        <v>0</v>
      </c>
      <c r="M237" s="8">
        <v>24133.6</v>
      </c>
      <c r="N237">
        <v>0</v>
      </c>
      <c r="O237">
        <v>1</v>
      </c>
      <c r="P237" s="8">
        <v>0</v>
      </c>
      <c r="Q237" s="8">
        <v>21547.86</v>
      </c>
      <c r="R237" s="8">
        <v>0</v>
      </c>
      <c r="S237">
        <v>1</v>
      </c>
      <c r="T237">
        <v>4</v>
      </c>
      <c r="U237" t="s">
        <v>289</v>
      </c>
      <c r="V237" t="s">
        <v>899</v>
      </c>
      <c r="W237" t="s">
        <v>900</v>
      </c>
      <c r="X237" t="s">
        <v>339</v>
      </c>
      <c r="Y237">
        <v>169</v>
      </c>
      <c r="Z237" t="s">
        <v>42</v>
      </c>
      <c r="AA237" t="s">
        <v>901</v>
      </c>
      <c r="AB237" t="s">
        <v>44</v>
      </c>
    </row>
    <row r="238" spans="1:28" ht="20" customHeight="1">
      <c r="A238" t="s">
        <v>334</v>
      </c>
      <c r="B238" t="s">
        <v>335</v>
      </c>
      <c r="C238" t="s">
        <v>902</v>
      </c>
      <c r="D238" s="7">
        <v>46275.95763888889</v>
      </c>
      <c r="E238" t="s">
        <v>56</v>
      </c>
      <c r="F238" t="s">
        <v>34</v>
      </c>
      <c r="G238" t="s">
        <v>35</v>
      </c>
      <c r="I238" t="s">
        <v>132</v>
      </c>
      <c r="J238" t="s">
        <v>68</v>
      </c>
      <c r="K238" s="8">
        <v>10831.16</v>
      </c>
      <c r="L238" s="8">
        <v>0</v>
      </c>
      <c r="M238" s="8">
        <v>12130.9</v>
      </c>
      <c r="N238">
        <v>0</v>
      </c>
      <c r="O238">
        <v>1</v>
      </c>
      <c r="P238" s="8">
        <v>0</v>
      </c>
      <c r="Q238" s="8">
        <v>10831.16</v>
      </c>
      <c r="R238" s="8">
        <v>0</v>
      </c>
      <c r="S238">
        <v>1</v>
      </c>
      <c r="T238">
        <v>2</v>
      </c>
      <c r="U238" t="s">
        <v>299</v>
      </c>
      <c r="V238" t="s">
        <v>724</v>
      </c>
      <c r="W238" t="s">
        <v>903</v>
      </c>
      <c r="X238" t="s">
        <v>339</v>
      </c>
      <c r="Y238">
        <v>170</v>
      </c>
      <c r="Z238" t="s">
        <v>42</v>
      </c>
      <c r="AA238" t="s">
        <v>331</v>
      </c>
      <c r="AB238" t="s">
        <v>44</v>
      </c>
    </row>
    <row r="239" spans="1:28" ht="20" customHeight="1">
      <c r="A239" t="s">
        <v>334</v>
      </c>
      <c r="B239" t="s">
        <v>340</v>
      </c>
      <c r="C239" t="s">
        <v>904</v>
      </c>
      <c r="D239" s="7">
        <v>46276.47152777778</v>
      </c>
      <c r="E239" t="s">
        <v>56</v>
      </c>
      <c r="F239" t="s">
        <v>34</v>
      </c>
      <c r="G239" t="s">
        <v>35</v>
      </c>
      <c r="H239" t="s">
        <v>35</v>
      </c>
      <c r="I239" t="s">
        <v>48</v>
      </c>
      <c r="J239" t="s">
        <v>49</v>
      </c>
      <c r="K239" s="8">
        <v>33294.64</v>
      </c>
      <c r="L239" s="8">
        <v>33294.64</v>
      </c>
      <c r="M239" s="8">
        <v>37290</v>
      </c>
      <c r="N239">
        <v>1</v>
      </c>
      <c r="O239">
        <v>0</v>
      </c>
      <c r="P239" s="8">
        <v>0</v>
      </c>
      <c r="Q239" s="8">
        <v>0</v>
      </c>
      <c r="R239" s="8">
        <v>0</v>
      </c>
      <c r="S239">
        <v>1</v>
      </c>
      <c r="T239">
        <v>4</v>
      </c>
      <c r="U239" t="s">
        <v>50</v>
      </c>
      <c r="V239" t="s">
        <v>892</v>
      </c>
      <c r="W239" t="s">
        <v>905</v>
      </c>
      <c r="X239" t="s">
        <v>339</v>
      </c>
      <c r="Y239">
        <v>171</v>
      </c>
      <c r="Z239" t="s">
        <v>42</v>
      </c>
      <c r="AA239" t="s">
        <v>906</v>
      </c>
      <c r="AB239" t="s">
        <v>44</v>
      </c>
    </row>
    <row r="240" spans="1:28" ht="20" customHeight="1">
      <c r="A240" t="s">
        <v>334</v>
      </c>
      <c r="B240" t="s">
        <v>340</v>
      </c>
      <c r="C240" t="s">
        <v>907</v>
      </c>
      <c r="D240" s="7">
        <v>46276.49444444444</v>
      </c>
      <c r="E240" t="s">
        <v>56</v>
      </c>
      <c r="F240" t="s">
        <v>34</v>
      </c>
      <c r="G240" t="s">
        <v>35</v>
      </c>
      <c r="I240" t="s">
        <v>132</v>
      </c>
      <c r="J240" t="s">
        <v>68</v>
      </c>
      <c r="K240" s="8">
        <v>18991.07</v>
      </c>
      <c r="L240" s="8">
        <v>0</v>
      </c>
      <c r="M240" s="8">
        <v>21270</v>
      </c>
      <c r="N240">
        <v>0</v>
      </c>
      <c r="O240">
        <v>1</v>
      </c>
      <c r="P240" s="8">
        <v>0</v>
      </c>
      <c r="Q240" s="8">
        <v>18991.07</v>
      </c>
      <c r="R240" s="8">
        <v>0</v>
      </c>
      <c r="S240">
        <v>1</v>
      </c>
      <c r="T240">
        <v>4</v>
      </c>
      <c r="U240" t="s">
        <v>50</v>
      </c>
      <c r="V240" t="s">
        <v>414</v>
      </c>
      <c r="W240" t="s">
        <v>908</v>
      </c>
      <c r="X240" t="s">
        <v>339</v>
      </c>
      <c r="Y240">
        <v>172</v>
      </c>
      <c r="Z240" t="s">
        <v>42</v>
      </c>
      <c r="AA240" t="s">
        <v>909</v>
      </c>
      <c r="AB240" t="s">
        <v>44</v>
      </c>
    </row>
    <row r="241" spans="1:28" ht="20" customHeight="1">
      <c r="A241" t="s">
        <v>910</v>
      </c>
      <c r="B241" t="s">
        <v>911</v>
      </c>
      <c r="C241" t="s">
        <v>912</v>
      </c>
      <c r="D241" s="7">
        <v>46277.71111111111</v>
      </c>
      <c r="E241" t="s">
        <v>56</v>
      </c>
      <c r="F241" t="s">
        <v>34</v>
      </c>
      <c r="G241" t="s">
        <v>35</v>
      </c>
      <c r="H241" t="s">
        <v>35</v>
      </c>
      <c r="I241" t="s">
        <v>36</v>
      </c>
      <c r="J241" t="s">
        <v>37</v>
      </c>
      <c r="K241" s="8">
        <v>6689.55</v>
      </c>
      <c r="L241" s="8">
        <v>0</v>
      </c>
      <c r="M241" s="8">
        <v>7492.3</v>
      </c>
      <c r="N241">
        <v>0</v>
      </c>
      <c r="O241">
        <v>0</v>
      </c>
      <c r="P241" s="8">
        <v>6689.55</v>
      </c>
      <c r="Q241" s="8">
        <v>0</v>
      </c>
      <c r="R241" s="8">
        <v>0</v>
      </c>
      <c r="S241">
        <v>2</v>
      </c>
      <c r="T241">
        <v>2</v>
      </c>
      <c r="U241" t="s">
        <v>289</v>
      </c>
      <c r="V241" t="s">
        <v>913</v>
      </c>
      <c r="W241" t="s">
        <v>914</v>
      </c>
      <c r="X241" t="s">
        <v>915</v>
      </c>
      <c r="Y241">
        <v>2</v>
      </c>
      <c r="Z241" t="s">
        <v>42</v>
      </c>
      <c r="AA241" t="s">
        <v>916</v>
      </c>
      <c r="AB241" t="s">
        <v>44</v>
      </c>
    </row>
    <row r="242" spans="1:28" ht="20" customHeight="1">
      <c r="A242" t="s">
        <v>910</v>
      </c>
      <c r="B242" t="s">
        <v>911</v>
      </c>
      <c r="C242" t="s">
        <v>917</v>
      </c>
      <c r="D242" s="7">
        <v>46278.45416666667</v>
      </c>
      <c r="E242" t="s">
        <v>56</v>
      </c>
      <c r="F242" t="s">
        <v>34</v>
      </c>
      <c r="G242" t="s">
        <v>35</v>
      </c>
      <c r="I242" t="s">
        <v>36</v>
      </c>
      <c r="J242" t="s">
        <v>37</v>
      </c>
      <c r="K242" s="8">
        <v>7950.54</v>
      </c>
      <c r="L242" s="8">
        <v>0</v>
      </c>
      <c r="M242" s="8">
        <v>8904.6</v>
      </c>
      <c r="N242">
        <v>0</v>
      </c>
      <c r="O242">
        <v>0</v>
      </c>
      <c r="P242" s="8">
        <v>7950.54</v>
      </c>
      <c r="Q242" s="8">
        <v>0</v>
      </c>
      <c r="R242" s="8">
        <v>0</v>
      </c>
      <c r="S242">
        <v>2</v>
      </c>
      <c r="T242">
        <v>4</v>
      </c>
      <c r="U242" t="s">
        <v>234</v>
      </c>
      <c r="V242" t="s">
        <v>235</v>
      </c>
      <c r="W242" t="s">
        <v>918</v>
      </c>
      <c r="X242" t="s">
        <v>915</v>
      </c>
      <c r="Y242">
        <v>3</v>
      </c>
      <c r="Z242" t="s">
        <v>42</v>
      </c>
      <c r="AA242" t="s">
        <v>919</v>
      </c>
      <c r="AB242" t="s">
        <v>44</v>
      </c>
    </row>
    <row r="243" spans="1:28" ht="20" customHeight="1">
      <c r="A243" t="s">
        <v>910</v>
      </c>
      <c r="B243" t="s">
        <v>911</v>
      </c>
      <c r="C243" t="s">
        <v>920</v>
      </c>
      <c r="D243" s="7">
        <v>46279.56111111111</v>
      </c>
      <c r="E243" t="s">
        <v>56</v>
      </c>
      <c r="F243" t="s">
        <v>34</v>
      </c>
      <c r="G243" t="s">
        <v>35</v>
      </c>
      <c r="H243" t="s">
        <v>35</v>
      </c>
      <c r="I243" t="s">
        <v>48</v>
      </c>
      <c r="J243" t="s">
        <v>49</v>
      </c>
      <c r="K243" s="8">
        <v>12799.82</v>
      </c>
      <c r="L243" s="8">
        <v>12799.82</v>
      </c>
      <c r="M243" s="8">
        <v>14335.8</v>
      </c>
      <c r="N243">
        <v>1</v>
      </c>
      <c r="O243">
        <v>0</v>
      </c>
      <c r="P243" s="8">
        <v>0</v>
      </c>
      <c r="Q243" s="8">
        <v>0</v>
      </c>
      <c r="R243" s="8">
        <v>0</v>
      </c>
      <c r="S243">
        <v>2</v>
      </c>
      <c r="T243">
        <v>4</v>
      </c>
      <c r="U243" t="s">
        <v>75</v>
      </c>
      <c r="V243" t="s">
        <v>921</v>
      </c>
      <c r="W243" t="s">
        <v>922</v>
      </c>
      <c r="X243" t="s">
        <v>915</v>
      </c>
      <c r="Y243">
        <v>4</v>
      </c>
      <c r="Z243" t="s">
        <v>42</v>
      </c>
      <c r="AA243" t="s">
        <v>923</v>
      </c>
      <c r="AB243" t="s">
        <v>44</v>
      </c>
    </row>
    <row r="244" spans="1:28" ht="20" customHeight="1">
      <c r="A244" t="s">
        <v>910</v>
      </c>
      <c r="B244" t="s">
        <v>911</v>
      </c>
      <c r="C244" t="s">
        <v>924</v>
      </c>
      <c r="D244" s="7">
        <v>46279.61180555556</v>
      </c>
      <c r="E244" t="s">
        <v>56</v>
      </c>
      <c r="F244" t="s">
        <v>34</v>
      </c>
      <c r="G244" t="s">
        <v>35</v>
      </c>
      <c r="I244" t="s">
        <v>48</v>
      </c>
      <c r="J244" t="s">
        <v>49</v>
      </c>
      <c r="K244" s="8">
        <v>8903.040000000001</v>
      </c>
      <c r="L244" s="8">
        <v>8903.040000000001</v>
      </c>
      <c r="M244" s="8">
        <v>9971.4</v>
      </c>
      <c r="N244">
        <v>1</v>
      </c>
      <c r="O244">
        <v>0</v>
      </c>
      <c r="P244" s="8">
        <v>0</v>
      </c>
      <c r="Q244" s="8">
        <v>0</v>
      </c>
      <c r="R244" s="8">
        <v>0</v>
      </c>
      <c r="S244">
        <v>2</v>
      </c>
      <c r="T244">
        <v>4</v>
      </c>
      <c r="U244" t="s">
        <v>925</v>
      </c>
      <c r="V244" t="s">
        <v>926</v>
      </c>
      <c r="W244" t="s">
        <v>927</v>
      </c>
      <c r="X244" t="s">
        <v>915</v>
      </c>
      <c r="Y244">
        <v>5</v>
      </c>
      <c r="Z244" t="s">
        <v>42</v>
      </c>
      <c r="AA244" t="s">
        <v>928</v>
      </c>
      <c r="AB244" t="s">
        <v>44</v>
      </c>
    </row>
    <row r="245" spans="1:28" ht="20" customHeight="1">
      <c r="A245" t="s">
        <v>910</v>
      </c>
      <c r="B245" t="s">
        <v>911</v>
      </c>
      <c r="C245" t="s">
        <v>929</v>
      </c>
      <c r="D245" s="7">
        <v>46285.47916666666</v>
      </c>
      <c r="E245" t="s">
        <v>33</v>
      </c>
      <c r="F245" t="s">
        <v>34</v>
      </c>
      <c r="G245" t="s">
        <v>35</v>
      </c>
      <c r="H245" t="s">
        <v>35</v>
      </c>
      <c r="I245" t="s">
        <v>48</v>
      </c>
      <c r="J245" t="s">
        <v>69</v>
      </c>
      <c r="K245" s="8">
        <v>19363.39</v>
      </c>
      <c r="L245" s="8">
        <v>19363.39</v>
      </c>
      <c r="M245" s="8">
        <v>21687</v>
      </c>
      <c r="N245">
        <v>1</v>
      </c>
      <c r="O245">
        <v>0</v>
      </c>
      <c r="P245" s="8">
        <v>0</v>
      </c>
      <c r="Q245" s="8">
        <v>0</v>
      </c>
      <c r="R245" s="8">
        <v>0</v>
      </c>
      <c r="S245">
        <v>2</v>
      </c>
      <c r="T245">
        <v>4</v>
      </c>
      <c r="U245" t="s">
        <v>80</v>
      </c>
      <c r="V245" t="s">
        <v>930</v>
      </c>
      <c r="W245" t="s">
        <v>931</v>
      </c>
      <c r="X245" t="s">
        <v>915</v>
      </c>
      <c r="Y245">
        <v>6</v>
      </c>
      <c r="Z245" t="s">
        <v>42</v>
      </c>
      <c r="AA245" t="s">
        <v>932</v>
      </c>
      <c r="AB245" t="s">
        <v>44</v>
      </c>
    </row>
    <row r="246" spans="1:28" ht="20" customHeight="1">
      <c r="A246" t="s">
        <v>910</v>
      </c>
      <c r="B246" t="s">
        <v>911</v>
      </c>
      <c r="C246" t="s">
        <v>933</v>
      </c>
      <c r="D246" s="7">
        <v>46268.42430555556</v>
      </c>
      <c r="E246" t="s">
        <v>47</v>
      </c>
      <c r="F246" t="s">
        <v>34</v>
      </c>
      <c r="G246" t="s">
        <v>35</v>
      </c>
      <c r="H246" t="s">
        <v>35</v>
      </c>
      <c r="I246" t="s">
        <v>48</v>
      </c>
      <c r="J246" t="s">
        <v>49</v>
      </c>
      <c r="K246" s="8">
        <v>44651.79</v>
      </c>
      <c r="L246" s="8">
        <v>44651.79</v>
      </c>
      <c r="M246" s="8">
        <v>50010</v>
      </c>
      <c r="N246">
        <v>1</v>
      </c>
      <c r="O246">
        <v>0</v>
      </c>
      <c r="P246" s="8">
        <v>0</v>
      </c>
      <c r="Q246" s="8">
        <v>0</v>
      </c>
      <c r="R246" s="8">
        <v>0</v>
      </c>
      <c r="S246">
        <v>2</v>
      </c>
      <c r="T246">
        <v>4</v>
      </c>
      <c r="U246" t="s">
        <v>50</v>
      </c>
      <c r="V246" t="s">
        <v>934</v>
      </c>
      <c r="W246" t="s">
        <v>935</v>
      </c>
      <c r="X246" t="s">
        <v>915</v>
      </c>
      <c r="Y246">
        <v>7</v>
      </c>
      <c r="Z246" t="s">
        <v>42</v>
      </c>
      <c r="AA246" t="s">
        <v>936</v>
      </c>
      <c r="AB246" t="s">
        <v>44</v>
      </c>
    </row>
    <row r="247" spans="1:28" ht="20" customHeight="1">
      <c r="A247" t="s">
        <v>910</v>
      </c>
      <c r="B247" t="s">
        <v>911</v>
      </c>
      <c r="C247" t="s">
        <v>937</v>
      </c>
      <c r="D247" s="7">
        <v>46269.37083333333</v>
      </c>
      <c r="E247" t="s">
        <v>47</v>
      </c>
      <c r="F247" t="s">
        <v>34</v>
      </c>
      <c r="G247" t="s">
        <v>35</v>
      </c>
      <c r="I247" t="s">
        <v>48</v>
      </c>
      <c r="J247" t="s">
        <v>49</v>
      </c>
      <c r="K247" s="8">
        <v>32334.82</v>
      </c>
      <c r="L247" s="8">
        <v>32334.82</v>
      </c>
      <c r="M247" s="8">
        <v>36215</v>
      </c>
      <c r="N247">
        <v>1</v>
      </c>
      <c r="O247">
        <v>0</v>
      </c>
      <c r="P247" s="8">
        <v>0</v>
      </c>
      <c r="Q247" s="8">
        <v>0</v>
      </c>
      <c r="R247" s="8">
        <v>0</v>
      </c>
      <c r="S247">
        <v>2</v>
      </c>
      <c r="T247">
        <v>4</v>
      </c>
      <c r="U247" t="s">
        <v>50</v>
      </c>
      <c r="V247" t="s">
        <v>307</v>
      </c>
      <c r="W247" t="s">
        <v>938</v>
      </c>
      <c r="X247" t="s">
        <v>915</v>
      </c>
      <c r="Y247">
        <v>8</v>
      </c>
      <c r="Z247" t="s">
        <v>42</v>
      </c>
      <c r="AA247" t="s">
        <v>617</v>
      </c>
      <c r="AB247" t="s">
        <v>44</v>
      </c>
    </row>
    <row r="248" spans="1:28" ht="20" customHeight="1">
      <c r="A248" t="s">
        <v>910</v>
      </c>
      <c r="B248" t="s">
        <v>911</v>
      </c>
      <c r="C248" t="s">
        <v>939</v>
      </c>
      <c r="D248" s="7">
        <v>46269.84930555556</v>
      </c>
      <c r="E248" t="s">
        <v>47</v>
      </c>
      <c r="F248" t="s">
        <v>34</v>
      </c>
      <c r="G248" t="s">
        <v>35</v>
      </c>
      <c r="I248" t="s">
        <v>36</v>
      </c>
      <c r="J248" t="s">
        <v>37</v>
      </c>
      <c r="K248" s="8">
        <v>5950.89</v>
      </c>
      <c r="L248" s="8">
        <v>0</v>
      </c>
      <c r="M248" s="8">
        <v>6665</v>
      </c>
      <c r="N248">
        <v>0</v>
      </c>
      <c r="O248">
        <v>0</v>
      </c>
      <c r="P248" s="8">
        <v>5950.89</v>
      </c>
      <c r="Q248" s="8">
        <v>0</v>
      </c>
      <c r="R248" s="8">
        <v>0</v>
      </c>
      <c r="S248">
        <v>2</v>
      </c>
      <c r="T248">
        <v>1</v>
      </c>
      <c r="U248" t="s">
        <v>541</v>
      </c>
      <c r="V248" t="s">
        <v>940</v>
      </c>
      <c r="W248" t="s">
        <v>941</v>
      </c>
      <c r="X248" t="s">
        <v>915</v>
      </c>
      <c r="Y248">
        <v>9</v>
      </c>
      <c r="Z248" t="s">
        <v>42</v>
      </c>
      <c r="AA248" t="s">
        <v>942</v>
      </c>
      <c r="AB248" t="s">
        <v>44</v>
      </c>
    </row>
    <row r="249" spans="1:28" ht="20" customHeight="1">
      <c r="A249" t="s">
        <v>910</v>
      </c>
      <c r="B249" t="s">
        <v>911</v>
      </c>
      <c r="C249" t="s">
        <v>943</v>
      </c>
      <c r="D249" s="7">
        <v>46274.67847222222</v>
      </c>
      <c r="E249" t="s">
        <v>56</v>
      </c>
      <c r="F249" t="s">
        <v>34</v>
      </c>
      <c r="G249" t="s">
        <v>35</v>
      </c>
      <c r="H249" t="s">
        <v>35</v>
      </c>
      <c r="I249" t="s">
        <v>48</v>
      </c>
      <c r="J249" t="s">
        <v>49</v>
      </c>
      <c r="K249" s="8">
        <v>32424.11</v>
      </c>
      <c r="L249" s="8">
        <v>32424.11</v>
      </c>
      <c r="M249" s="8">
        <v>36315</v>
      </c>
      <c r="N249">
        <v>1</v>
      </c>
      <c r="O249">
        <v>0</v>
      </c>
      <c r="P249" s="8">
        <v>0</v>
      </c>
      <c r="Q249" s="8">
        <v>0</v>
      </c>
      <c r="R249" s="8">
        <v>0</v>
      </c>
      <c r="S249">
        <v>2</v>
      </c>
      <c r="T249">
        <v>4</v>
      </c>
      <c r="U249" t="s">
        <v>50</v>
      </c>
      <c r="V249" t="s">
        <v>307</v>
      </c>
      <c r="W249" t="s">
        <v>944</v>
      </c>
      <c r="X249" t="s">
        <v>915</v>
      </c>
      <c r="Y249">
        <v>10</v>
      </c>
      <c r="Z249" t="s">
        <v>42</v>
      </c>
      <c r="AA249" t="s">
        <v>945</v>
      </c>
      <c r="AB249" t="s">
        <v>44</v>
      </c>
    </row>
    <row r="250" spans="1:28" ht="20" customHeight="1">
      <c r="A250" t="s">
        <v>910</v>
      </c>
      <c r="B250" t="s">
        <v>911</v>
      </c>
      <c r="C250" t="s">
        <v>946</v>
      </c>
      <c r="D250" s="7">
        <v>46276.03333333333</v>
      </c>
      <c r="E250" t="s">
        <v>56</v>
      </c>
      <c r="F250" t="s">
        <v>34</v>
      </c>
      <c r="G250" t="s">
        <v>35</v>
      </c>
      <c r="I250" t="s">
        <v>142</v>
      </c>
      <c r="J250" t="s">
        <v>69</v>
      </c>
      <c r="K250" s="8">
        <v>10940.54</v>
      </c>
      <c r="L250" s="8">
        <v>0</v>
      </c>
      <c r="M250" s="8">
        <v>12253.4</v>
      </c>
      <c r="N250">
        <v>0</v>
      </c>
      <c r="O250">
        <v>0</v>
      </c>
      <c r="P250" s="8">
        <v>0</v>
      </c>
      <c r="Q250" s="8">
        <v>0</v>
      </c>
      <c r="R250" s="8">
        <v>10940.54</v>
      </c>
      <c r="S250">
        <v>2</v>
      </c>
      <c r="T250">
        <v>4</v>
      </c>
      <c r="U250" t="s">
        <v>80</v>
      </c>
      <c r="V250" t="s">
        <v>133</v>
      </c>
      <c r="W250" t="s">
        <v>947</v>
      </c>
      <c r="X250" t="s">
        <v>915</v>
      </c>
      <c r="Y250">
        <v>11</v>
      </c>
      <c r="Z250" t="s">
        <v>42</v>
      </c>
      <c r="AA250" t="s">
        <v>948</v>
      </c>
      <c r="AB250" t="s">
        <v>44</v>
      </c>
    </row>
    <row r="251" spans="1:28" ht="20" customHeight="1">
      <c r="A251" t="s">
        <v>910</v>
      </c>
      <c r="B251" t="s">
        <v>911</v>
      </c>
      <c r="C251" t="s">
        <v>949</v>
      </c>
      <c r="D251" s="7">
        <v>46276.37152777778</v>
      </c>
      <c r="E251" t="s">
        <v>56</v>
      </c>
      <c r="F251" t="s">
        <v>34</v>
      </c>
      <c r="G251" t="s">
        <v>35</v>
      </c>
      <c r="I251" t="s">
        <v>36</v>
      </c>
      <c r="J251" t="s">
        <v>37</v>
      </c>
      <c r="K251" s="8">
        <v>7950.54</v>
      </c>
      <c r="L251" s="8">
        <v>0</v>
      </c>
      <c r="M251" s="8">
        <v>8904.6</v>
      </c>
      <c r="N251">
        <v>0</v>
      </c>
      <c r="O251">
        <v>0</v>
      </c>
      <c r="P251" s="8">
        <v>7950.54</v>
      </c>
      <c r="Q251" s="8">
        <v>0</v>
      </c>
      <c r="R251" s="8">
        <v>0</v>
      </c>
      <c r="S251">
        <v>2</v>
      </c>
      <c r="T251">
        <v>4</v>
      </c>
      <c r="U251" t="s">
        <v>234</v>
      </c>
      <c r="V251" t="s">
        <v>235</v>
      </c>
      <c r="W251" t="s">
        <v>950</v>
      </c>
      <c r="X251" t="s">
        <v>915</v>
      </c>
      <c r="Y251">
        <v>12</v>
      </c>
      <c r="Z251" t="s">
        <v>42</v>
      </c>
      <c r="AA251" t="s">
        <v>714</v>
      </c>
      <c r="AB251" t="s">
        <v>44</v>
      </c>
    </row>
    <row r="252" spans="1:28" ht="20" customHeight="1">
      <c r="A252" t="s">
        <v>910</v>
      </c>
      <c r="B252" t="s">
        <v>911</v>
      </c>
      <c r="C252" t="s">
        <v>951</v>
      </c>
      <c r="D252" s="7">
        <v>46283.99236111111</v>
      </c>
      <c r="E252" t="s">
        <v>33</v>
      </c>
      <c r="F252" t="s">
        <v>34</v>
      </c>
      <c r="G252" t="s">
        <v>35</v>
      </c>
      <c r="I252" t="s">
        <v>132</v>
      </c>
      <c r="J252" t="s">
        <v>68</v>
      </c>
      <c r="K252" s="8">
        <v>16119.46</v>
      </c>
      <c r="L252" s="8">
        <v>0</v>
      </c>
      <c r="M252" s="8">
        <v>18053.8</v>
      </c>
      <c r="N252">
        <v>0</v>
      </c>
      <c r="O252">
        <v>1</v>
      </c>
      <c r="P252" s="8">
        <v>0</v>
      </c>
      <c r="Q252" s="8">
        <v>16119.46</v>
      </c>
      <c r="R252" s="8">
        <v>0</v>
      </c>
      <c r="S252">
        <v>1</v>
      </c>
      <c r="T252">
        <v>4</v>
      </c>
      <c r="U252" t="s">
        <v>38</v>
      </c>
      <c r="V252" t="s">
        <v>138</v>
      </c>
      <c r="W252" t="s">
        <v>952</v>
      </c>
      <c r="X252" t="s">
        <v>915</v>
      </c>
      <c r="Y252">
        <v>13</v>
      </c>
      <c r="Z252" t="s">
        <v>42</v>
      </c>
      <c r="AA252" t="s">
        <v>786</v>
      </c>
      <c r="AB252" t="s">
        <v>44</v>
      </c>
    </row>
    <row r="253" spans="1:28" ht="20" customHeight="1">
      <c r="A253" t="s">
        <v>910</v>
      </c>
      <c r="B253" t="s">
        <v>911</v>
      </c>
      <c r="C253" t="s">
        <v>953</v>
      </c>
      <c r="D253" s="7">
        <v>46280.70416666667</v>
      </c>
      <c r="E253" t="s">
        <v>33</v>
      </c>
      <c r="F253" t="s">
        <v>34</v>
      </c>
      <c r="G253" t="s">
        <v>35</v>
      </c>
      <c r="H253" t="s">
        <v>175</v>
      </c>
      <c r="I253" t="s">
        <v>48</v>
      </c>
      <c r="J253" t="s">
        <v>49</v>
      </c>
      <c r="K253" s="8">
        <v>44642.86</v>
      </c>
      <c r="L253" s="8">
        <v>44642.86</v>
      </c>
      <c r="M253" s="8">
        <v>50000</v>
      </c>
      <c r="N253">
        <v>1</v>
      </c>
      <c r="O253">
        <v>0</v>
      </c>
      <c r="P253" s="8">
        <v>0</v>
      </c>
      <c r="Q253" s="8">
        <v>0</v>
      </c>
      <c r="R253" s="8">
        <v>0</v>
      </c>
      <c r="S253">
        <v>1</v>
      </c>
      <c r="T253">
        <v>4</v>
      </c>
      <c r="U253" t="s">
        <v>925</v>
      </c>
      <c r="V253" t="s">
        <v>954</v>
      </c>
      <c r="W253" t="s">
        <v>955</v>
      </c>
      <c r="X253" t="s">
        <v>915</v>
      </c>
      <c r="Y253">
        <v>14</v>
      </c>
      <c r="Z253" t="s">
        <v>42</v>
      </c>
      <c r="AA253" t="s">
        <v>956</v>
      </c>
      <c r="AB253" t="s">
        <v>44</v>
      </c>
    </row>
    <row r="254" spans="1:28" ht="20" customHeight="1">
      <c r="A254" t="s">
        <v>910</v>
      </c>
      <c r="B254" t="s">
        <v>911</v>
      </c>
      <c r="C254" t="s">
        <v>957</v>
      </c>
      <c r="D254" s="7">
        <v>46283.40069444444</v>
      </c>
      <c r="E254" t="s">
        <v>33</v>
      </c>
      <c r="F254" t="s">
        <v>34</v>
      </c>
      <c r="G254" t="s">
        <v>35</v>
      </c>
      <c r="H254" t="s">
        <v>35</v>
      </c>
      <c r="I254" t="s">
        <v>48</v>
      </c>
      <c r="J254" t="s">
        <v>49</v>
      </c>
      <c r="K254" s="8">
        <v>6452.86</v>
      </c>
      <c r="L254" s="8">
        <v>6452.86</v>
      </c>
      <c r="M254" s="8">
        <v>7227.2</v>
      </c>
      <c r="N254">
        <v>1</v>
      </c>
      <c r="O254">
        <v>0</v>
      </c>
      <c r="P254" s="8">
        <v>0</v>
      </c>
      <c r="Q254" s="8">
        <v>0</v>
      </c>
      <c r="R254" s="8">
        <v>0</v>
      </c>
      <c r="S254">
        <v>1</v>
      </c>
      <c r="T254">
        <v>4</v>
      </c>
      <c r="U254" t="s">
        <v>289</v>
      </c>
      <c r="V254" t="s">
        <v>958</v>
      </c>
      <c r="W254" t="s">
        <v>959</v>
      </c>
      <c r="X254" t="s">
        <v>915</v>
      </c>
      <c r="Y254">
        <v>15</v>
      </c>
      <c r="Z254" t="s">
        <v>42</v>
      </c>
      <c r="AA254" t="s">
        <v>960</v>
      </c>
      <c r="AB254" t="s">
        <v>44</v>
      </c>
    </row>
    <row r="255" spans="1:28" ht="20" customHeight="1">
      <c r="A255" t="s">
        <v>910</v>
      </c>
      <c r="B255" t="s">
        <v>911</v>
      </c>
      <c r="C255" t="s">
        <v>961</v>
      </c>
      <c r="D255" s="7">
        <v>46280.39583333334</v>
      </c>
      <c r="E255" t="s">
        <v>33</v>
      </c>
      <c r="F255" t="s">
        <v>34</v>
      </c>
      <c r="G255" t="s">
        <v>35</v>
      </c>
      <c r="H255" t="s">
        <v>35</v>
      </c>
      <c r="I255" t="s">
        <v>132</v>
      </c>
      <c r="J255" t="s">
        <v>68</v>
      </c>
      <c r="K255" s="8">
        <v>8066.43</v>
      </c>
      <c r="L255" s="8">
        <v>0</v>
      </c>
      <c r="M255" s="8">
        <v>9034.4</v>
      </c>
      <c r="N255">
        <v>0</v>
      </c>
      <c r="O255">
        <v>1</v>
      </c>
      <c r="P255" s="8">
        <v>0</v>
      </c>
      <c r="Q255" s="8">
        <v>8066.43</v>
      </c>
      <c r="R255" s="8">
        <v>0</v>
      </c>
      <c r="S255">
        <v>1</v>
      </c>
      <c r="T255">
        <v>4</v>
      </c>
      <c r="U255" t="s">
        <v>75</v>
      </c>
      <c r="V255" t="s">
        <v>962</v>
      </c>
      <c r="W255" t="s">
        <v>963</v>
      </c>
      <c r="X255" t="s">
        <v>915</v>
      </c>
      <c r="Y255">
        <v>16</v>
      </c>
      <c r="Z255" t="s">
        <v>42</v>
      </c>
      <c r="AA255" t="s">
        <v>766</v>
      </c>
      <c r="AB255" t="s">
        <v>44</v>
      </c>
    </row>
    <row r="256" spans="1:28" ht="20" customHeight="1">
      <c r="A256" t="s">
        <v>910</v>
      </c>
      <c r="B256" t="s">
        <v>911</v>
      </c>
      <c r="C256" t="s">
        <v>964</v>
      </c>
      <c r="D256" s="7">
        <v>46283.99305555555</v>
      </c>
      <c r="E256" t="s">
        <v>33</v>
      </c>
      <c r="F256" t="s">
        <v>34</v>
      </c>
      <c r="G256" t="s">
        <v>35</v>
      </c>
      <c r="I256" t="s">
        <v>132</v>
      </c>
      <c r="J256" t="s">
        <v>68</v>
      </c>
      <c r="K256" s="8">
        <v>16431.96</v>
      </c>
      <c r="L256" s="8">
        <v>0</v>
      </c>
      <c r="M256" s="8">
        <v>18403.8</v>
      </c>
      <c r="N256">
        <v>0</v>
      </c>
      <c r="O256">
        <v>1</v>
      </c>
      <c r="P256" s="8">
        <v>0</v>
      </c>
      <c r="Q256" s="8">
        <v>16431.96</v>
      </c>
      <c r="R256" s="8">
        <v>0</v>
      </c>
      <c r="S256">
        <v>1</v>
      </c>
      <c r="T256">
        <v>4</v>
      </c>
      <c r="U256" t="s">
        <v>38</v>
      </c>
      <c r="V256" t="s">
        <v>138</v>
      </c>
      <c r="W256" t="s">
        <v>965</v>
      </c>
      <c r="X256" t="s">
        <v>915</v>
      </c>
      <c r="Y256">
        <v>17</v>
      </c>
      <c r="Z256" t="s">
        <v>42</v>
      </c>
      <c r="AA256" t="s">
        <v>786</v>
      </c>
      <c r="AB256" t="s">
        <v>44</v>
      </c>
    </row>
    <row r="257" spans="1:28" ht="20" customHeight="1">
      <c r="A257" t="s">
        <v>910</v>
      </c>
      <c r="B257" t="s">
        <v>911</v>
      </c>
      <c r="C257" t="s">
        <v>966</v>
      </c>
      <c r="D257" s="7">
        <v>46286.45694444444</v>
      </c>
      <c r="E257" t="s">
        <v>33</v>
      </c>
      <c r="F257" t="s">
        <v>34</v>
      </c>
      <c r="G257" t="s">
        <v>35</v>
      </c>
      <c r="H257" t="s">
        <v>35</v>
      </c>
      <c r="I257" t="s">
        <v>132</v>
      </c>
      <c r="J257" t="s">
        <v>68</v>
      </c>
      <c r="K257" s="8">
        <v>10028.39</v>
      </c>
      <c r="L257" s="8">
        <v>0</v>
      </c>
      <c r="M257" s="8">
        <v>11231.8</v>
      </c>
      <c r="N257">
        <v>0</v>
      </c>
      <c r="O257">
        <v>1</v>
      </c>
      <c r="P257" s="8">
        <v>0</v>
      </c>
      <c r="Q257" s="8">
        <v>10028.39</v>
      </c>
      <c r="R257" s="8">
        <v>0</v>
      </c>
      <c r="S257">
        <v>1</v>
      </c>
      <c r="T257">
        <v>4</v>
      </c>
      <c r="U257" t="s">
        <v>57</v>
      </c>
      <c r="V257" t="s">
        <v>967</v>
      </c>
      <c r="W257" t="s">
        <v>968</v>
      </c>
      <c r="X257" t="s">
        <v>915</v>
      </c>
      <c r="Y257">
        <v>18</v>
      </c>
      <c r="Z257" t="s">
        <v>42</v>
      </c>
      <c r="AA257" t="s">
        <v>790</v>
      </c>
      <c r="AB257" t="s">
        <v>44</v>
      </c>
    </row>
    <row r="258" spans="1:28" ht="20" customHeight="1">
      <c r="A258" t="s">
        <v>910</v>
      </c>
      <c r="B258" t="s">
        <v>911</v>
      </c>
      <c r="C258" t="s">
        <v>969</v>
      </c>
      <c r="D258" s="7">
        <v>46286.50763888889</v>
      </c>
      <c r="E258" t="s">
        <v>33</v>
      </c>
      <c r="F258" t="s">
        <v>34</v>
      </c>
      <c r="G258" t="s">
        <v>35</v>
      </c>
      <c r="H258" t="s">
        <v>175</v>
      </c>
      <c r="I258" t="s">
        <v>122</v>
      </c>
      <c r="J258" t="s">
        <v>69</v>
      </c>
      <c r="K258" s="8">
        <v>13735.18</v>
      </c>
      <c r="L258" s="8">
        <v>0</v>
      </c>
      <c r="M258" s="8">
        <v>15383.4</v>
      </c>
      <c r="N258">
        <v>0</v>
      </c>
      <c r="O258">
        <v>0</v>
      </c>
      <c r="P258" s="8">
        <v>13735.18</v>
      </c>
      <c r="Q258" s="8">
        <v>0</v>
      </c>
      <c r="R258" s="8">
        <v>0</v>
      </c>
      <c r="S258">
        <v>1</v>
      </c>
      <c r="T258">
        <v>4</v>
      </c>
      <c r="U258" t="s">
        <v>375</v>
      </c>
      <c r="V258" t="s">
        <v>970</v>
      </c>
      <c r="W258" t="s">
        <v>971</v>
      </c>
      <c r="X258" t="s">
        <v>915</v>
      </c>
      <c r="Y258">
        <v>19</v>
      </c>
      <c r="Z258" t="s">
        <v>42</v>
      </c>
      <c r="AA258" t="s">
        <v>972</v>
      </c>
      <c r="AB258" t="s">
        <v>44</v>
      </c>
    </row>
    <row r="259" spans="1:28" ht="20" customHeight="1">
      <c r="A259" t="s">
        <v>910</v>
      </c>
      <c r="B259" t="s">
        <v>911</v>
      </c>
      <c r="C259" t="s">
        <v>973</v>
      </c>
      <c r="D259" s="7">
        <v>46287.53888888889</v>
      </c>
      <c r="E259" t="s">
        <v>146</v>
      </c>
      <c r="F259" t="s">
        <v>34</v>
      </c>
      <c r="G259" t="s">
        <v>35</v>
      </c>
      <c r="H259" t="s">
        <v>35</v>
      </c>
      <c r="I259" t="s">
        <v>132</v>
      </c>
      <c r="J259" t="s">
        <v>68</v>
      </c>
      <c r="K259" s="8">
        <v>25169.64</v>
      </c>
      <c r="L259" s="8">
        <v>0</v>
      </c>
      <c r="M259" s="8">
        <v>28190</v>
      </c>
      <c r="N259">
        <v>0</v>
      </c>
      <c r="O259">
        <v>1</v>
      </c>
      <c r="P259" s="8">
        <v>0</v>
      </c>
      <c r="Q259" s="8">
        <v>25169.64</v>
      </c>
      <c r="R259" s="8">
        <v>0</v>
      </c>
      <c r="S259">
        <v>1</v>
      </c>
      <c r="T259">
        <v>4</v>
      </c>
      <c r="U259" t="s">
        <v>50</v>
      </c>
      <c r="V259" t="s">
        <v>974</v>
      </c>
      <c r="W259" t="s">
        <v>975</v>
      </c>
      <c r="X259" t="s">
        <v>915</v>
      </c>
      <c r="Y259">
        <v>20</v>
      </c>
      <c r="Z259" t="s">
        <v>42</v>
      </c>
      <c r="AA259" t="s">
        <v>976</v>
      </c>
      <c r="AB259" t="s">
        <v>44</v>
      </c>
    </row>
    <row r="260" spans="1:28" ht="20" customHeight="1">
      <c r="A260" t="s">
        <v>910</v>
      </c>
      <c r="B260" t="s">
        <v>911</v>
      </c>
      <c r="C260" t="s">
        <v>977</v>
      </c>
      <c r="D260" s="7">
        <v>46288.55625</v>
      </c>
      <c r="E260" t="s">
        <v>146</v>
      </c>
      <c r="F260" t="s">
        <v>34</v>
      </c>
      <c r="G260" t="s">
        <v>35</v>
      </c>
      <c r="H260" t="s">
        <v>35</v>
      </c>
      <c r="I260" t="s">
        <v>132</v>
      </c>
      <c r="J260" t="s">
        <v>68</v>
      </c>
      <c r="K260" s="8">
        <v>5098.48</v>
      </c>
      <c r="L260" s="8">
        <v>0</v>
      </c>
      <c r="M260" s="8">
        <v>5710.3</v>
      </c>
      <c r="N260">
        <v>0</v>
      </c>
      <c r="O260">
        <v>1</v>
      </c>
      <c r="P260" s="8">
        <v>0</v>
      </c>
      <c r="Q260" s="8">
        <v>5098.48</v>
      </c>
      <c r="R260" s="8">
        <v>0</v>
      </c>
      <c r="S260">
        <v>1</v>
      </c>
      <c r="T260">
        <v>2</v>
      </c>
      <c r="U260" t="s">
        <v>57</v>
      </c>
      <c r="V260" t="s">
        <v>967</v>
      </c>
      <c r="W260" t="s">
        <v>978</v>
      </c>
      <c r="X260" t="s">
        <v>915</v>
      </c>
      <c r="Y260">
        <v>21</v>
      </c>
      <c r="Z260" t="s">
        <v>42</v>
      </c>
      <c r="AA260" t="s">
        <v>283</v>
      </c>
      <c r="AB260" t="s">
        <v>44</v>
      </c>
    </row>
    <row r="261" spans="1:28" ht="20" customHeight="1">
      <c r="A261" t="s">
        <v>910</v>
      </c>
      <c r="B261" t="s">
        <v>911</v>
      </c>
      <c r="C261" t="s">
        <v>979</v>
      </c>
      <c r="D261" s="7">
        <v>46266.85208333333</v>
      </c>
      <c r="E261" t="s">
        <v>47</v>
      </c>
      <c r="F261" t="s">
        <v>34</v>
      </c>
      <c r="G261" t="s">
        <v>35</v>
      </c>
      <c r="H261" t="s">
        <v>35</v>
      </c>
      <c r="I261" t="s">
        <v>132</v>
      </c>
      <c r="J261" t="s">
        <v>68</v>
      </c>
      <c r="K261" s="8">
        <v>4135</v>
      </c>
      <c r="L261" s="8">
        <v>0</v>
      </c>
      <c r="M261" s="8">
        <v>4631.2</v>
      </c>
      <c r="N261">
        <v>0</v>
      </c>
      <c r="O261">
        <v>1</v>
      </c>
      <c r="P261" s="8">
        <v>0</v>
      </c>
      <c r="Q261" s="8">
        <v>4135</v>
      </c>
      <c r="R261" s="8">
        <v>0</v>
      </c>
      <c r="S261">
        <v>1</v>
      </c>
      <c r="T261">
        <v>2</v>
      </c>
      <c r="U261" t="s">
        <v>75</v>
      </c>
      <c r="V261" t="s">
        <v>980</v>
      </c>
      <c r="W261" t="s">
        <v>981</v>
      </c>
      <c r="X261" t="s">
        <v>915</v>
      </c>
      <c r="Y261">
        <v>22</v>
      </c>
      <c r="Z261" t="s">
        <v>42</v>
      </c>
      <c r="AA261" t="s">
        <v>739</v>
      </c>
      <c r="AB261" t="s">
        <v>44</v>
      </c>
    </row>
    <row r="262" spans="1:28" ht="20" customHeight="1">
      <c r="A262" t="s">
        <v>910</v>
      </c>
      <c r="B262" t="s">
        <v>911</v>
      </c>
      <c r="C262" t="s">
        <v>982</v>
      </c>
      <c r="D262" s="7">
        <v>46266.95763888889</v>
      </c>
      <c r="E262" t="s">
        <v>47</v>
      </c>
      <c r="F262" t="s">
        <v>34</v>
      </c>
      <c r="G262" t="s">
        <v>35</v>
      </c>
      <c r="I262" t="s">
        <v>132</v>
      </c>
      <c r="J262" t="s">
        <v>68</v>
      </c>
      <c r="K262" s="8">
        <v>3772.59</v>
      </c>
      <c r="L262" s="8">
        <v>0</v>
      </c>
      <c r="M262" s="8">
        <v>4225.3</v>
      </c>
      <c r="N262">
        <v>0</v>
      </c>
      <c r="O262">
        <v>1</v>
      </c>
      <c r="P262" s="8">
        <v>0</v>
      </c>
      <c r="Q262" s="8">
        <v>3772.59</v>
      </c>
      <c r="R262" s="8">
        <v>0</v>
      </c>
      <c r="S262">
        <v>1</v>
      </c>
      <c r="T262">
        <v>2</v>
      </c>
      <c r="U262" t="s">
        <v>294</v>
      </c>
      <c r="V262" t="s">
        <v>983</v>
      </c>
      <c r="W262" t="s">
        <v>984</v>
      </c>
      <c r="X262" t="s">
        <v>915</v>
      </c>
      <c r="Y262">
        <v>23</v>
      </c>
      <c r="Z262" t="s">
        <v>42</v>
      </c>
      <c r="AA262" t="s">
        <v>985</v>
      </c>
      <c r="AB262" t="s">
        <v>44</v>
      </c>
    </row>
    <row r="263" spans="1:28" ht="20" customHeight="1">
      <c r="A263" t="s">
        <v>910</v>
      </c>
      <c r="B263" t="s">
        <v>911</v>
      </c>
      <c r="C263" t="s">
        <v>986</v>
      </c>
      <c r="D263" s="7">
        <v>46273.68055555555</v>
      </c>
      <c r="E263" t="s">
        <v>56</v>
      </c>
      <c r="F263" t="s">
        <v>34</v>
      </c>
      <c r="G263" t="s">
        <v>35</v>
      </c>
      <c r="H263" t="s">
        <v>63</v>
      </c>
      <c r="I263" t="s">
        <v>48</v>
      </c>
      <c r="J263" t="s">
        <v>69</v>
      </c>
      <c r="K263" s="8">
        <v>19892.86</v>
      </c>
      <c r="L263" s="8">
        <v>19892.86</v>
      </c>
      <c r="M263" s="8">
        <v>22280</v>
      </c>
      <c r="N263">
        <v>1</v>
      </c>
      <c r="O263">
        <v>0</v>
      </c>
      <c r="P263" s="8">
        <v>0</v>
      </c>
      <c r="Q263" s="8">
        <v>0</v>
      </c>
      <c r="R263" s="8">
        <v>0</v>
      </c>
      <c r="S263">
        <v>1</v>
      </c>
      <c r="T263">
        <v>4</v>
      </c>
      <c r="U263" t="s">
        <v>229</v>
      </c>
      <c r="V263" t="s">
        <v>756</v>
      </c>
      <c r="W263" t="s">
        <v>987</v>
      </c>
      <c r="X263" t="s">
        <v>915</v>
      </c>
      <c r="Y263">
        <v>24</v>
      </c>
      <c r="Z263" t="s">
        <v>42</v>
      </c>
      <c r="AA263" t="s">
        <v>988</v>
      </c>
      <c r="AB263" t="s">
        <v>44</v>
      </c>
    </row>
    <row r="264" spans="1:28" ht="20" customHeight="1">
      <c r="A264" t="s">
        <v>910</v>
      </c>
      <c r="B264" t="s">
        <v>911</v>
      </c>
      <c r="C264" t="s">
        <v>989</v>
      </c>
      <c r="D264" s="7">
        <v>46274.63541666666</v>
      </c>
      <c r="E264" t="s">
        <v>56</v>
      </c>
      <c r="F264" t="s">
        <v>34</v>
      </c>
      <c r="G264" t="s">
        <v>35</v>
      </c>
      <c r="I264" t="s">
        <v>132</v>
      </c>
      <c r="J264" t="s">
        <v>68</v>
      </c>
      <c r="K264" s="8">
        <v>4805.89</v>
      </c>
      <c r="L264" s="8">
        <v>0</v>
      </c>
      <c r="M264" s="8">
        <v>5382.6</v>
      </c>
      <c r="N264">
        <v>0</v>
      </c>
      <c r="O264">
        <v>1</v>
      </c>
      <c r="P264" s="8">
        <v>0</v>
      </c>
      <c r="Q264" s="8">
        <v>4805.89</v>
      </c>
      <c r="R264" s="8">
        <v>0</v>
      </c>
      <c r="S264">
        <v>1</v>
      </c>
      <c r="T264">
        <v>2</v>
      </c>
      <c r="U264" t="s">
        <v>75</v>
      </c>
      <c r="V264" t="s">
        <v>990</v>
      </c>
      <c r="W264" t="s">
        <v>991</v>
      </c>
      <c r="X264" t="s">
        <v>915</v>
      </c>
      <c r="Y264">
        <v>25</v>
      </c>
      <c r="Z264" t="s">
        <v>42</v>
      </c>
      <c r="AA264" t="s">
        <v>992</v>
      </c>
      <c r="AB264" t="s">
        <v>44</v>
      </c>
    </row>
    <row r="265" spans="1:28" ht="20" customHeight="1">
      <c r="A265" t="s">
        <v>910</v>
      </c>
      <c r="B265" t="s">
        <v>911</v>
      </c>
      <c r="C265" t="s">
        <v>993</v>
      </c>
      <c r="D265" s="7">
        <v>46275.08680555555</v>
      </c>
      <c r="E265" t="s">
        <v>56</v>
      </c>
      <c r="F265" t="s">
        <v>34</v>
      </c>
      <c r="G265" t="s">
        <v>35</v>
      </c>
      <c r="H265" t="s">
        <v>35</v>
      </c>
      <c r="I265" t="s">
        <v>132</v>
      </c>
      <c r="J265" t="s">
        <v>68</v>
      </c>
      <c r="K265" s="8">
        <v>23107.14</v>
      </c>
      <c r="L265" s="8">
        <v>0</v>
      </c>
      <c r="M265" s="8">
        <v>25880</v>
      </c>
      <c r="N265">
        <v>0</v>
      </c>
      <c r="O265">
        <v>1</v>
      </c>
      <c r="P265" s="8">
        <v>0</v>
      </c>
      <c r="Q265" s="8">
        <v>23107.14</v>
      </c>
      <c r="R265" s="8">
        <v>0</v>
      </c>
      <c r="S265">
        <v>1</v>
      </c>
      <c r="T265">
        <v>4</v>
      </c>
      <c r="U265" t="s">
        <v>50</v>
      </c>
      <c r="V265" t="s">
        <v>884</v>
      </c>
      <c r="W265" t="s">
        <v>994</v>
      </c>
      <c r="X265" t="s">
        <v>915</v>
      </c>
      <c r="Y265">
        <v>26</v>
      </c>
      <c r="Z265" t="s">
        <v>42</v>
      </c>
      <c r="AA265" t="s">
        <v>331</v>
      </c>
      <c r="AB265" t="s">
        <v>44</v>
      </c>
    </row>
    <row r="266" spans="1:28" ht="20" customHeight="1">
      <c r="A266" t="s">
        <v>910</v>
      </c>
      <c r="B266" t="s">
        <v>911</v>
      </c>
      <c r="C266" t="s">
        <v>995</v>
      </c>
      <c r="D266" s="7">
        <v>46275.53402777778</v>
      </c>
      <c r="E266" t="s">
        <v>56</v>
      </c>
      <c r="F266" t="s">
        <v>34</v>
      </c>
      <c r="G266" t="s">
        <v>35</v>
      </c>
      <c r="I266" t="s">
        <v>36</v>
      </c>
      <c r="J266" t="s">
        <v>37</v>
      </c>
      <c r="K266" s="8">
        <v>5894.02</v>
      </c>
      <c r="L266" s="8">
        <v>0</v>
      </c>
      <c r="M266" s="8">
        <v>6601.3</v>
      </c>
      <c r="N266">
        <v>0</v>
      </c>
      <c r="O266">
        <v>0</v>
      </c>
      <c r="P266" s="8">
        <v>5894.02</v>
      </c>
      <c r="Q266" s="8">
        <v>0</v>
      </c>
      <c r="R266" s="8">
        <v>0</v>
      </c>
      <c r="S266">
        <v>1</v>
      </c>
      <c r="T266">
        <v>2</v>
      </c>
      <c r="U266" t="s">
        <v>294</v>
      </c>
      <c r="V266" t="s">
        <v>996</v>
      </c>
      <c r="W266" t="s">
        <v>997</v>
      </c>
      <c r="X266" t="s">
        <v>915</v>
      </c>
      <c r="Y266">
        <v>27</v>
      </c>
      <c r="Z266" t="s">
        <v>42</v>
      </c>
      <c r="AA266" t="s">
        <v>309</v>
      </c>
      <c r="AB266" t="s">
        <v>44</v>
      </c>
    </row>
    <row r="267" spans="1:28" ht="20" customHeight="1">
      <c r="A267" t="s">
        <v>910</v>
      </c>
      <c r="B267" t="s">
        <v>911</v>
      </c>
      <c r="C267" t="s">
        <v>998</v>
      </c>
      <c r="D267" s="7">
        <v>46275.62013888889</v>
      </c>
      <c r="E267" t="s">
        <v>56</v>
      </c>
      <c r="F267" t="s">
        <v>34</v>
      </c>
      <c r="G267" t="s">
        <v>35</v>
      </c>
      <c r="H267" t="s">
        <v>63</v>
      </c>
      <c r="I267" t="s">
        <v>48</v>
      </c>
      <c r="J267" t="s">
        <v>49</v>
      </c>
      <c r="K267" s="8">
        <v>51763.39</v>
      </c>
      <c r="L267" s="8">
        <v>51763.39</v>
      </c>
      <c r="M267" s="8">
        <v>57975</v>
      </c>
      <c r="N267">
        <v>1</v>
      </c>
      <c r="O267">
        <v>0</v>
      </c>
      <c r="P267" s="8">
        <v>0</v>
      </c>
      <c r="Q267" s="8">
        <v>0</v>
      </c>
      <c r="R267" s="8">
        <v>0</v>
      </c>
      <c r="S267">
        <v>1</v>
      </c>
      <c r="T267">
        <v>4</v>
      </c>
      <c r="U267" t="s">
        <v>50</v>
      </c>
      <c r="V267" t="s">
        <v>999</v>
      </c>
      <c r="W267" t="s">
        <v>1000</v>
      </c>
      <c r="X267" t="s">
        <v>915</v>
      </c>
      <c r="Y267">
        <v>28</v>
      </c>
      <c r="Z267" t="s">
        <v>42</v>
      </c>
      <c r="AA267" t="s">
        <v>668</v>
      </c>
      <c r="AB267" t="s">
        <v>44</v>
      </c>
    </row>
    <row r="268" spans="1:28" ht="20" customHeight="1">
      <c r="A268" t="s">
        <v>910</v>
      </c>
      <c r="B268" t="s">
        <v>911</v>
      </c>
      <c r="C268" t="s">
        <v>1001</v>
      </c>
      <c r="D268" s="7">
        <v>46276.70972222222</v>
      </c>
      <c r="E268" t="s">
        <v>56</v>
      </c>
      <c r="F268" t="s">
        <v>34</v>
      </c>
      <c r="G268" t="s">
        <v>35</v>
      </c>
      <c r="I268" t="s">
        <v>132</v>
      </c>
      <c r="J268" t="s">
        <v>68</v>
      </c>
      <c r="K268" s="8">
        <v>15508.93</v>
      </c>
      <c r="L268" s="8">
        <v>0</v>
      </c>
      <c r="M268" s="8">
        <v>17370</v>
      </c>
      <c r="N268">
        <v>0</v>
      </c>
      <c r="O268">
        <v>1</v>
      </c>
      <c r="P268" s="8">
        <v>0</v>
      </c>
      <c r="Q268" s="8">
        <v>15508.93</v>
      </c>
      <c r="R268" s="8">
        <v>0</v>
      </c>
      <c r="S268">
        <v>1</v>
      </c>
      <c r="T268">
        <v>4</v>
      </c>
      <c r="U268" t="s">
        <v>50</v>
      </c>
      <c r="V268" t="s">
        <v>483</v>
      </c>
      <c r="W268" t="s">
        <v>1002</v>
      </c>
      <c r="X268" t="s">
        <v>915</v>
      </c>
      <c r="Y268">
        <v>29</v>
      </c>
      <c r="Z268" t="s">
        <v>42</v>
      </c>
      <c r="AA268" t="s">
        <v>901</v>
      </c>
      <c r="AB268" t="s">
        <v>44</v>
      </c>
    </row>
  </sheetData>
  <pageMargins left="0.7" right="0.7" top="0.75" bottom="0.75" header="0.3" footer="0.3"/>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tabColor rgb="FF008C95"/>
    <pageSetUpPr fitToPage="1"/>
  </sheetPr>
  <dimension ref="A1:C69"/>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20" customHeight="1"/>
  <cols>
    <col min="1" max="1" width="19.7109375" customWidth="1"/>
    <col min="2" max="2" width="45.7109375" customWidth="1"/>
    <col min="3" max="3" width="19.7109375" customWidth="1"/>
  </cols>
  <sheetData>
    <row r="1" spans="1:3" ht="20" customHeight="1">
      <c r="A1" t="s">
        <v>3</v>
      </c>
      <c r="B1" t="s">
        <v>24</v>
      </c>
      <c r="C1" t="s">
        <v>1003</v>
      </c>
    </row>
    <row r="2" spans="1:3" ht="20" customHeight="1">
      <c r="A2" t="s">
        <v>31</v>
      </c>
      <c r="B2" t="s">
        <v>40</v>
      </c>
      <c r="C2" t="s">
        <v>1004</v>
      </c>
    </row>
    <row r="3" spans="1:3" ht="20" customHeight="1">
      <c r="A3" t="s">
        <v>45</v>
      </c>
      <c r="B3" t="s">
        <v>52</v>
      </c>
      <c r="C3" t="s">
        <v>1005</v>
      </c>
    </row>
    <row r="4" spans="1:3" ht="20" customHeight="1">
      <c r="A4" t="s">
        <v>54</v>
      </c>
      <c r="B4" t="s">
        <v>59</v>
      </c>
      <c r="C4" t="s">
        <v>1005</v>
      </c>
    </row>
    <row r="5" spans="1:3" ht="20" customHeight="1">
      <c r="A5" t="s">
        <v>61</v>
      </c>
      <c r="B5" t="s">
        <v>65</v>
      </c>
      <c r="C5" t="s">
        <v>1005</v>
      </c>
    </row>
    <row r="6" spans="1:3" ht="20" customHeight="1">
      <c r="A6" t="s">
        <v>61</v>
      </c>
      <c r="B6" t="s">
        <v>72</v>
      </c>
      <c r="C6" t="s">
        <v>1005</v>
      </c>
    </row>
    <row r="7" spans="1:3" ht="20" customHeight="1">
      <c r="A7" t="s">
        <v>45</v>
      </c>
      <c r="B7" t="s">
        <v>77</v>
      </c>
      <c r="C7" t="s">
        <v>1005</v>
      </c>
    </row>
    <row r="8" spans="1:3" ht="20" customHeight="1">
      <c r="A8" t="s">
        <v>31</v>
      </c>
      <c r="B8" t="s">
        <v>82</v>
      </c>
      <c r="C8" t="s">
        <v>1005</v>
      </c>
    </row>
    <row r="9" spans="1:3" ht="20" customHeight="1">
      <c r="A9" t="s">
        <v>84</v>
      </c>
      <c r="B9" t="s">
        <v>88</v>
      </c>
      <c r="C9" t="s">
        <v>1005</v>
      </c>
    </row>
    <row r="10" spans="1:3" ht="20" customHeight="1">
      <c r="A10" t="s">
        <v>61</v>
      </c>
      <c r="B10" t="s">
        <v>92</v>
      </c>
      <c r="C10" t="s">
        <v>1005</v>
      </c>
    </row>
    <row r="11" spans="1:3" ht="20" customHeight="1">
      <c r="A11" t="s">
        <v>61</v>
      </c>
      <c r="B11" t="s">
        <v>95</v>
      </c>
      <c r="C11" t="s">
        <v>1005</v>
      </c>
    </row>
    <row r="12" spans="1:3" ht="20" customHeight="1">
      <c r="A12" t="s">
        <v>31</v>
      </c>
      <c r="B12" t="s">
        <v>98</v>
      </c>
      <c r="C12" t="s">
        <v>1005</v>
      </c>
    </row>
    <row r="13" spans="1:3" ht="20" customHeight="1">
      <c r="A13" t="s">
        <v>45</v>
      </c>
      <c r="B13" t="s">
        <v>103</v>
      </c>
      <c r="C13" t="s">
        <v>1005</v>
      </c>
    </row>
    <row r="14" spans="1:3" ht="20" customHeight="1">
      <c r="A14" t="s">
        <v>105</v>
      </c>
      <c r="B14" t="s">
        <v>108</v>
      </c>
      <c r="C14" t="s">
        <v>1005</v>
      </c>
    </row>
    <row r="15" spans="1:3" ht="20" customHeight="1">
      <c r="A15" t="s">
        <v>45</v>
      </c>
      <c r="B15" t="s">
        <v>111</v>
      </c>
      <c r="C15" t="s">
        <v>1005</v>
      </c>
    </row>
    <row r="16" spans="1:3" ht="20" customHeight="1">
      <c r="A16" t="s">
        <v>45</v>
      </c>
      <c r="B16" t="s">
        <v>115</v>
      </c>
      <c r="C16" t="s">
        <v>1005</v>
      </c>
    </row>
    <row r="17" spans="1:3" ht="20" customHeight="1">
      <c r="A17" t="s">
        <v>45</v>
      </c>
      <c r="B17" t="s">
        <v>119</v>
      </c>
      <c r="C17" t="s">
        <v>1005</v>
      </c>
    </row>
    <row r="18" spans="1:3" ht="20" customHeight="1">
      <c r="A18" t="s">
        <v>45</v>
      </c>
      <c r="B18" t="s">
        <v>124</v>
      </c>
      <c r="C18" t="s">
        <v>1005</v>
      </c>
    </row>
    <row r="19" spans="1:3" ht="20" customHeight="1">
      <c r="A19" t="s">
        <v>31</v>
      </c>
      <c r="B19" t="s">
        <v>129</v>
      </c>
      <c r="C19" t="s">
        <v>1005</v>
      </c>
    </row>
    <row r="20" spans="1:3" ht="20" customHeight="1">
      <c r="A20" t="s">
        <v>61</v>
      </c>
      <c r="B20" t="s">
        <v>134</v>
      </c>
      <c r="C20" t="s">
        <v>1005</v>
      </c>
    </row>
    <row r="21" spans="1:3" ht="20" customHeight="1">
      <c r="A21" t="s">
        <v>136</v>
      </c>
      <c r="B21" t="s">
        <v>139</v>
      </c>
      <c r="C21" t="s">
        <v>1005</v>
      </c>
    </row>
    <row r="22" spans="1:3" ht="20" customHeight="1">
      <c r="A22" t="s">
        <v>61</v>
      </c>
      <c r="B22" t="s">
        <v>143</v>
      </c>
      <c r="C22" t="s">
        <v>1005</v>
      </c>
    </row>
    <row r="23" spans="1:3" ht="20" customHeight="1">
      <c r="A23" t="s">
        <v>31</v>
      </c>
      <c r="B23" t="s">
        <v>148</v>
      </c>
      <c r="C23" t="s">
        <v>1005</v>
      </c>
    </row>
    <row r="24" spans="1:3" ht="20" customHeight="1">
      <c r="A24" t="s">
        <v>105</v>
      </c>
      <c r="B24" t="s">
        <v>152</v>
      </c>
      <c r="C24" t="s">
        <v>1005</v>
      </c>
    </row>
    <row r="25" spans="1:3" ht="20" customHeight="1">
      <c r="A25" t="s">
        <v>45</v>
      </c>
      <c r="B25" t="s">
        <v>157</v>
      </c>
      <c r="C25" t="s">
        <v>1005</v>
      </c>
    </row>
    <row r="26" spans="1:3" ht="20" customHeight="1">
      <c r="A26" t="s">
        <v>45</v>
      </c>
      <c r="B26" t="s">
        <v>161</v>
      </c>
      <c r="C26" t="s">
        <v>1005</v>
      </c>
    </row>
    <row r="27" spans="1:3" ht="20" customHeight="1">
      <c r="A27" t="s">
        <v>61</v>
      </c>
      <c r="B27" t="s">
        <v>165</v>
      </c>
      <c r="C27" t="s">
        <v>1005</v>
      </c>
    </row>
    <row r="28" spans="1:3" ht="20" customHeight="1">
      <c r="A28" t="s">
        <v>61</v>
      </c>
      <c r="B28" t="s">
        <v>168</v>
      </c>
      <c r="C28" t="s">
        <v>1005</v>
      </c>
    </row>
    <row r="29" spans="1:3" ht="20" customHeight="1">
      <c r="A29" t="s">
        <v>45</v>
      </c>
      <c r="B29" t="s">
        <v>172</v>
      </c>
      <c r="C29" t="s">
        <v>1005</v>
      </c>
    </row>
    <row r="30" spans="1:3" ht="20" customHeight="1">
      <c r="A30" t="s">
        <v>61</v>
      </c>
      <c r="B30" t="s">
        <v>177</v>
      </c>
      <c r="C30" t="s">
        <v>1005</v>
      </c>
    </row>
    <row r="31" spans="1:3" ht="20" customHeight="1">
      <c r="A31" t="s">
        <v>61</v>
      </c>
      <c r="B31" t="s">
        <v>181</v>
      </c>
      <c r="C31" t="s">
        <v>1005</v>
      </c>
    </row>
    <row r="32" spans="1:3" ht="20" customHeight="1">
      <c r="A32" t="s">
        <v>61</v>
      </c>
      <c r="B32" t="s">
        <v>185</v>
      </c>
      <c r="C32" t="s">
        <v>1005</v>
      </c>
    </row>
    <row r="33" spans="1:3" ht="20" customHeight="1">
      <c r="A33" t="s">
        <v>31</v>
      </c>
      <c r="B33" t="s">
        <v>189</v>
      </c>
      <c r="C33" t="s">
        <v>1005</v>
      </c>
    </row>
    <row r="34" spans="1:3" ht="20" customHeight="1">
      <c r="A34" t="s">
        <v>31</v>
      </c>
      <c r="B34" t="s">
        <v>192</v>
      </c>
      <c r="C34" t="s">
        <v>1005</v>
      </c>
    </row>
    <row r="35" spans="1:3" ht="20" customHeight="1">
      <c r="A35" t="s">
        <v>61</v>
      </c>
      <c r="B35" t="s">
        <v>197</v>
      </c>
      <c r="C35" t="s">
        <v>1005</v>
      </c>
    </row>
    <row r="36" spans="1:3" ht="20" customHeight="1">
      <c r="A36" t="s">
        <v>61</v>
      </c>
      <c r="B36" t="s">
        <v>203</v>
      </c>
      <c r="C36" t="s">
        <v>1005</v>
      </c>
    </row>
    <row r="37" spans="1:3" ht="20" customHeight="1">
      <c r="A37" t="s">
        <v>61</v>
      </c>
      <c r="B37" t="s">
        <v>207</v>
      </c>
      <c r="C37" t="s">
        <v>1005</v>
      </c>
    </row>
    <row r="38" spans="1:3" ht="20" customHeight="1">
      <c r="A38" t="s">
        <v>105</v>
      </c>
      <c r="B38" t="s">
        <v>211</v>
      </c>
      <c r="C38" t="s">
        <v>1005</v>
      </c>
    </row>
    <row r="39" spans="1:3" ht="20" customHeight="1">
      <c r="A39" t="s">
        <v>105</v>
      </c>
      <c r="B39" t="s">
        <v>214</v>
      </c>
      <c r="C39" t="s">
        <v>1005</v>
      </c>
    </row>
    <row r="40" spans="1:3" ht="20" customHeight="1">
      <c r="A40" t="s">
        <v>61</v>
      </c>
      <c r="B40" t="s">
        <v>218</v>
      </c>
      <c r="C40" t="s">
        <v>1005</v>
      </c>
    </row>
    <row r="41" spans="1:3" ht="20" customHeight="1">
      <c r="A41" t="s">
        <v>84</v>
      </c>
      <c r="B41" t="s">
        <v>222</v>
      </c>
      <c r="C41" t="s">
        <v>1005</v>
      </c>
    </row>
    <row r="42" spans="1:3" ht="20" customHeight="1">
      <c r="A42" t="s">
        <v>84</v>
      </c>
      <c r="B42" t="s">
        <v>225</v>
      </c>
      <c r="C42" t="s">
        <v>1005</v>
      </c>
    </row>
    <row r="43" spans="1:3" ht="20" customHeight="1">
      <c r="A43" t="s">
        <v>227</v>
      </c>
      <c r="B43" t="s">
        <v>231</v>
      </c>
      <c r="C43" t="s">
        <v>1005</v>
      </c>
    </row>
    <row r="44" spans="1:3" ht="20" customHeight="1">
      <c r="A44" t="s">
        <v>84</v>
      </c>
      <c r="B44" t="s">
        <v>236</v>
      </c>
      <c r="C44" t="s">
        <v>1005</v>
      </c>
    </row>
    <row r="45" spans="1:3" ht="20" customHeight="1">
      <c r="A45" t="s">
        <v>61</v>
      </c>
      <c r="B45" t="s">
        <v>240</v>
      </c>
      <c r="C45" t="s">
        <v>1005</v>
      </c>
    </row>
    <row r="46" spans="1:3" ht="20" customHeight="1">
      <c r="A46" t="s">
        <v>105</v>
      </c>
      <c r="B46" t="s">
        <v>243</v>
      </c>
      <c r="C46" t="s">
        <v>1005</v>
      </c>
    </row>
    <row r="47" spans="1:3" ht="20" customHeight="1">
      <c r="A47" t="s">
        <v>61</v>
      </c>
      <c r="B47" t="s">
        <v>246</v>
      </c>
      <c r="C47" t="s">
        <v>1005</v>
      </c>
    </row>
    <row r="48" spans="1:3" ht="20" customHeight="1">
      <c r="A48" t="s">
        <v>45</v>
      </c>
      <c r="B48" t="s">
        <v>250</v>
      </c>
      <c r="C48" t="s">
        <v>1006</v>
      </c>
    </row>
    <row r="49" spans="1:3" ht="20" customHeight="1">
      <c r="A49" t="s">
        <v>61</v>
      </c>
      <c r="B49" t="s">
        <v>254</v>
      </c>
      <c r="C49" t="s">
        <v>1006</v>
      </c>
    </row>
    <row r="50" spans="1:3" ht="20" customHeight="1">
      <c r="A50" t="s">
        <v>45</v>
      </c>
      <c r="B50" t="s">
        <v>257</v>
      </c>
      <c r="C50" t="s">
        <v>1006</v>
      </c>
    </row>
    <row r="51" spans="1:3" ht="20" customHeight="1">
      <c r="A51" t="s">
        <v>61</v>
      </c>
      <c r="B51" t="s">
        <v>260</v>
      </c>
      <c r="C51" t="s">
        <v>1006</v>
      </c>
    </row>
    <row r="52" spans="1:3" ht="20" customHeight="1">
      <c r="A52" t="s">
        <v>31</v>
      </c>
      <c r="B52" t="s">
        <v>263</v>
      </c>
      <c r="C52" t="s">
        <v>1006</v>
      </c>
    </row>
    <row r="53" spans="1:3" ht="20" customHeight="1">
      <c r="A53" t="s">
        <v>227</v>
      </c>
      <c r="B53" t="s">
        <v>267</v>
      </c>
      <c r="C53" t="s">
        <v>1006</v>
      </c>
    </row>
    <row r="54" spans="1:3" ht="20" customHeight="1">
      <c r="A54" t="s">
        <v>31</v>
      </c>
      <c r="B54" t="s">
        <v>271</v>
      </c>
      <c r="C54" t="s">
        <v>1006</v>
      </c>
    </row>
    <row r="55" spans="1:3" ht="20" customHeight="1">
      <c r="A55" t="s">
        <v>45</v>
      </c>
      <c r="B55" t="s">
        <v>274</v>
      </c>
      <c r="C55" t="s">
        <v>1006</v>
      </c>
    </row>
    <row r="56" spans="1:3" ht="20" customHeight="1">
      <c r="A56" t="s">
        <v>31</v>
      </c>
      <c r="B56" t="s">
        <v>278</v>
      </c>
      <c r="C56" t="s">
        <v>1006</v>
      </c>
    </row>
    <row r="57" spans="1:3" ht="20" customHeight="1">
      <c r="A57" t="s">
        <v>31</v>
      </c>
      <c r="B57" t="s">
        <v>282</v>
      </c>
      <c r="C57" t="s">
        <v>1006</v>
      </c>
    </row>
    <row r="58" spans="1:3" ht="20" customHeight="1">
      <c r="A58" t="s">
        <v>31</v>
      </c>
      <c r="B58" t="s">
        <v>286</v>
      </c>
      <c r="C58" t="s">
        <v>1006</v>
      </c>
    </row>
    <row r="59" spans="1:3" ht="20" customHeight="1">
      <c r="A59" t="s">
        <v>61</v>
      </c>
      <c r="B59" t="s">
        <v>291</v>
      </c>
      <c r="C59" t="s">
        <v>1006</v>
      </c>
    </row>
    <row r="60" spans="1:3" ht="20" customHeight="1">
      <c r="A60" t="s">
        <v>227</v>
      </c>
      <c r="B60" t="s">
        <v>296</v>
      </c>
      <c r="C60" t="s">
        <v>1006</v>
      </c>
    </row>
    <row r="61" spans="1:3" ht="20" customHeight="1">
      <c r="A61" t="s">
        <v>227</v>
      </c>
      <c r="B61" t="s">
        <v>301</v>
      </c>
      <c r="C61" t="s">
        <v>1006</v>
      </c>
    </row>
    <row r="62" spans="1:3" ht="20" customHeight="1">
      <c r="A62" t="s">
        <v>61</v>
      </c>
      <c r="B62" t="s">
        <v>305</v>
      </c>
      <c r="C62" t="s">
        <v>1006</v>
      </c>
    </row>
    <row r="63" spans="1:3" ht="20" customHeight="1">
      <c r="A63" t="s">
        <v>61</v>
      </c>
      <c r="B63" t="s">
        <v>308</v>
      </c>
      <c r="C63" t="s">
        <v>1006</v>
      </c>
    </row>
    <row r="64" spans="1:3" ht="20" customHeight="1">
      <c r="A64" t="s">
        <v>61</v>
      </c>
      <c r="B64" t="s">
        <v>312</v>
      </c>
      <c r="C64" t="s">
        <v>1006</v>
      </c>
    </row>
    <row r="65" spans="1:3" ht="20" customHeight="1">
      <c r="A65" t="s">
        <v>84</v>
      </c>
      <c r="B65" t="s">
        <v>317</v>
      </c>
      <c r="C65" t="s">
        <v>1006</v>
      </c>
    </row>
    <row r="66" spans="1:3" ht="20" customHeight="1">
      <c r="A66" t="s">
        <v>84</v>
      </c>
      <c r="B66" t="s">
        <v>321</v>
      </c>
      <c r="C66" t="s">
        <v>1006</v>
      </c>
    </row>
    <row r="67" spans="1:3" ht="20" customHeight="1">
      <c r="A67" t="s">
        <v>105</v>
      </c>
      <c r="B67" t="s">
        <v>326</v>
      </c>
      <c r="C67" t="s">
        <v>1006</v>
      </c>
    </row>
    <row r="68" spans="1:3" ht="20" customHeight="1">
      <c r="A68" t="s">
        <v>45</v>
      </c>
      <c r="B68" t="s">
        <v>330</v>
      </c>
      <c r="C68" t="s">
        <v>1006</v>
      </c>
    </row>
    <row r="69" spans="1:3" ht="20" customHeight="1">
      <c r="A69" t="s">
        <v>31</v>
      </c>
      <c r="B69" t="s">
        <v>333</v>
      </c>
      <c r="C69" t="s">
        <v>1006</v>
      </c>
    </row>
  </sheetData>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tabColor rgb="FF008C95"/>
    <pageSetUpPr fitToPage="1"/>
  </sheetPr>
  <dimension ref="A1:C172"/>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20" customHeight="1"/>
  <cols>
    <col min="1" max="1" width="19.7109375" customWidth="1"/>
    <col min="2" max="2" width="45.7109375" customWidth="1"/>
    <col min="3" max="3" width="19.7109375" customWidth="1"/>
  </cols>
  <sheetData>
    <row r="1" spans="1:3" ht="20" customHeight="1">
      <c r="A1" t="s">
        <v>3</v>
      </c>
      <c r="B1" t="s">
        <v>24</v>
      </c>
      <c r="C1" t="s">
        <v>1003</v>
      </c>
    </row>
    <row r="2" spans="1:3" ht="20" customHeight="1">
      <c r="A2" t="s">
        <v>335</v>
      </c>
      <c r="B2" t="s">
        <v>338</v>
      </c>
      <c r="C2" t="s">
        <v>1007</v>
      </c>
    </row>
    <row r="3" spans="1:3" ht="20" customHeight="1">
      <c r="A3" t="s">
        <v>340</v>
      </c>
      <c r="B3" t="s">
        <v>344</v>
      </c>
      <c r="C3" t="s">
        <v>1005</v>
      </c>
    </row>
    <row r="4" spans="1:3" ht="20" customHeight="1">
      <c r="A4" t="s">
        <v>335</v>
      </c>
      <c r="B4" t="s">
        <v>348</v>
      </c>
      <c r="C4" t="s">
        <v>1005</v>
      </c>
    </row>
    <row r="5" spans="1:3" ht="20" customHeight="1">
      <c r="A5" t="s">
        <v>335</v>
      </c>
      <c r="B5" t="s">
        <v>352</v>
      </c>
      <c r="C5" t="s">
        <v>1005</v>
      </c>
    </row>
    <row r="6" spans="1:3" ht="20" customHeight="1">
      <c r="A6" t="s">
        <v>335</v>
      </c>
      <c r="B6" t="s">
        <v>356</v>
      </c>
      <c r="C6" t="s">
        <v>1005</v>
      </c>
    </row>
    <row r="7" spans="1:3" ht="20" customHeight="1">
      <c r="A7" t="s">
        <v>340</v>
      </c>
      <c r="B7" t="s">
        <v>361</v>
      </c>
      <c r="C7" t="s">
        <v>1005</v>
      </c>
    </row>
    <row r="8" spans="1:3" ht="20" customHeight="1">
      <c r="A8" t="s">
        <v>340</v>
      </c>
      <c r="B8" t="s">
        <v>365</v>
      </c>
      <c r="C8" t="s">
        <v>1005</v>
      </c>
    </row>
    <row r="9" spans="1:3" ht="20" customHeight="1">
      <c r="A9" t="s">
        <v>335</v>
      </c>
      <c r="B9" t="s">
        <v>369</v>
      </c>
      <c r="C9" t="s">
        <v>1005</v>
      </c>
    </row>
    <row r="10" spans="1:3" ht="20" customHeight="1">
      <c r="A10" t="s">
        <v>335</v>
      </c>
      <c r="B10" t="s">
        <v>372</v>
      </c>
      <c r="C10" t="s">
        <v>1005</v>
      </c>
    </row>
    <row r="11" spans="1:3" ht="20" customHeight="1">
      <c r="A11" t="s">
        <v>340</v>
      </c>
      <c r="B11" t="s">
        <v>377</v>
      </c>
      <c r="C11" t="s">
        <v>1005</v>
      </c>
    </row>
    <row r="12" spans="1:3" ht="20" customHeight="1">
      <c r="A12" t="s">
        <v>340</v>
      </c>
      <c r="B12" t="s">
        <v>380</v>
      </c>
      <c r="C12" t="s">
        <v>1005</v>
      </c>
    </row>
    <row r="13" spans="1:3" ht="20" customHeight="1">
      <c r="A13" t="s">
        <v>340</v>
      </c>
      <c r="B13" t="s">
        <v>383</v>
      </c>
      <c r="C13" t="s">
        <v>1005</v>
      </c>
    </row>
    <row r="14" spans="1:3" ht="20" customHeight="1">
      <c r="A14" t="s">
        <v>335</v>
      </c>
      <c r="B14" t="s">
        <v>386</v>
      </c>
      <c r="C14" t="s">
        <v>1005</v>
      </c>
    </row>
    <row r="15" spans="1:3" ht="20" customHeight="1">
      <c r="A15" t="s">
        <v>335</v>
      </c>
      <c r="B15" t="s">
        <v>390</v>
      </c>
      <c r="C15" t="s">
        <v>1005</v>
      </c>
    </row>
    <row r="16" spans="1:3" ht="20" customHeight="1">
      <c r="A16" t="s">
        <v>340</v>
      </c>
      <c r="B16" t="s">
        <v>394</v>
      </c>
      <c r="C16" t="s">
        <v>1005</v>
      </c>
    </row>
    <row r="17" spans="1:3" ht="20" customHeight="1">
      <c r="A17" t="s">
        <v>335</v>
      </c>
      <c r="B17" t="s">
        <v>398</v>
      </c>
      <c r="C17" t="s">
        <v>1005</v>
      </c>
    </row>
    <row r="18" spans="1:3" ht="20" customHeight="1">
      <c r="A18" t="s">
        <v>335</v>
      </c>
      <c r="B18" t="s">
        <v>402</v>
      </c>
      <c r="C18" t="s">
        <v>1005</v>
      </c>
    </row>
    <row r="19" spans="1:3" ht="20" customHeight="1">
      <c r="A19" t="s">
        <v>335</v>
      </c>
      <c r="B19" t="s">
        <v>405</v>
      </c>
      <c r="C19" t="s">
        <v>1005</v>
      </c>
    </row>
    <row r="20" spans="1:3" ht="20" customHeight="1">
      <c r="A20" t="s">
        <v>335</v>
      </c>
      <c r="B20" t="s">
        <v>408</v>
      </c>
      <c r="C20" t="s">
        <v>1005</v>
      </c>
    </row>
    <row r="21" spans="1:3" ht="20" customHeight="1">
      <c r="A21" t="s">
        <v>335</v>
      </c>
      <c r="B21" t="s">
        <v>412</v>
      </c>
      <c r="C21" t="s">
        <v>1005</v>
      </c>
    </row>
    <row r="22" spans="1:3" ht="20" customHeight="1">
      <c r="A22" t="s">
        <v>340</v>
      </c>
      <c r="B22" t="s">
        <v>415</v>
      </c>
      <c r="C22" t="s">
        <v>1005</v>
      </c>
    </row>
    <row r="23" spans="1:3" ht="20" customHeight="1">
      <c r="A23" t="s">
        <v>335</v>
      </c>
      <c r="B23" t="s">
        <v>419</v>
      </c>
      <c r="C23" t="s">
        <v>1005</v>
      </c>
    </row>
    <row r="24" spans="1:3" ht="20" customHeight="1">
      <c r="A24" t="s">
        <v>335</v>
      </c>
      <c r="B24" t="s">
        <v>423</v>
      </c>
      <c r="C24" t="s">
        <v>1005</v>
      </c>
    </row>
    <row r="25" spans="1:3" ht="20" customHeight="1">
      <c r="A25" t="s">
        <v>335</v>
      </c>
      <c r="B25" t="s">
        <v>426</v>
      </c>
      <c r="C25" t="s">
        <v>1005</v>
      </c>
    </row>
    <row r="26" spans="1:3" ht="20" customHeight="1">
      <c r="A26" t="s">
        <v>335</v>
      </c>
      <c r="B26" t="s">
        <v>429</v>
      </c>
      <c r="C26" t="s">
        <v>1005</v>
      </c>
    </row>
    <row r="27" spans="1:3" ht="20" customHeight="1">
      <c r="A27" t="s">
        <v>340</v>
      </c>
      <c r="B27" t="s">
        <v>434</v>
      </c>
      <c r="C27" t="s">
        <v>1005</v>
      </c>
    </row>
    <row r="28" spans="1:3" ht="20" customHeight="1">
      <c r="A28" t="s">
        <v>335</v>
      </c>
      <c r="B28" t="s">
        <v>438</v>
      </c>
      <c r="C28" t="s">
        <v>1005</v>
      </c>
    </row>
    <row r="29" spans="1:3" ht="20" customHeight="1">
      <c r="A29" t="s">
        <v>340</v>
      </c>
      <c r="B29" t="s">
        <v>441</v>
      </c>
      <c r="C29" t="s">
        <v>1005</v>
      </c>
    </row>
    <row r="30" spans="1:3" ht="20" customHeight="1">
      <c r="A30" t="s">
        <v>335</v>
      </c>
      <c r="B30" t="s">
        <v>444</v>
      </c>
      <c r="C30" t="s">
        <v>1005</v>
      </c>
    </row>
    <row r="31" spans="1:3" ht="20" customHeight="1">
      <c r="A31" t="s">
        <v>335</v>
      </c>
      <c r="B31" t="s">
        <v>447</v>
      </c>
      <c r="C31" t="s">
        <v>1005</v>
      </c>
    </row>
    <row r="32" spans="1:3" ht="20" customHeight="1">
      <c r="A32" t="s">
        <v>335</v>
      </c>
      <c r="B32" t="s">
        <v>450</v>
      </c>
      <c r="C32" t="s">
        <v>1005</v>
      </c>
    </row>
    <row r="33" spans="1:3" ht="20" customHeight="1">
      <c r="A33" t="s">
        <v>340</v>
      </c>
      <c r="B33" t="s">
        <v>454</v>
      </c>
      <c r="C33" t="s">
        <v>1005</v>
      </c>
    </row>
    <row r="34" spans="1:3" ht="20" customHeight="1">
      <c r="A34" t="s">
        <v>335</v>
      </c>
      <c r="B34" t="s">
        <v>458</v>
      </c>
      <c r="C34" t="s">
        <v>1005</v>
      </c>
    </row>
    <row r="35" spans="1:3" ht="20" customHeight="1">
      <c r="A35" t="s">
        <v>335</v>
      </c>
      <c r="B35" t="s">
        <v>462</v>
      </c>
      <c r="C35" t="s">
        <v>1005</v>
      </c>
    </row>
    <row r="36" spans="1:3" ht="20" customHeight="1">
      <c r="A36" t="s">
        <v>335</v>
      </c>
      <c r="B36" t="s">
        <v>464</v>
      </c>
      <c r="C36" t="s">
        <v>1005</v>
      </c>
    </row>
    <row r="37" spans="1:3" ht="20" customHeight="1">
      <c r="A37" t="s">
        <v>340</v>
      </c>
      <c r="B37" t="s">
        <v>468</v>
      </c>
      <c r="C37" t="s">
        <v>1005</v>
      </c>
    </row>
    <row r="38" spans="1:3" ht="20" customHeight="1">
      <c r="A38" t="s">
        <v>335</v>
      </c>
      <c r="B38" t="s">
        <v>472</v>
      </c>
      <c r="C38" t="s">
        <v>1005</v>
      </c>
    </row>
    <row r="39" spans="1:3" ht="20" customHeight="1">
      <c r="A39" t="s">
        <v>340</v>
      </c>
      <c r="B39" t="s">
        <v>476</v>
      </c>
      <c r="C39" t="s">
        <v>1005</v>
      </c>
    </row>
    <row r="40" spans="1:3" ht="20" customHeight="1">
      <c r="A40" t="s">
        <v>340</v>
      </c>
      <c r="B40" t="s">
        <v>480</v>
      </c>
      <c r="C40" t="s">
        <v>1005</v>
      </c>
    </row>
    <row r="41" spans="1:3" ht="20" customHeight="1">
      <c r="A41" t="s">
        <v>340</v>
      </c>
      <c r="B41" t="s">
        <v>484</v>
      </c>
      <c r="C41" t="s">
        <v>1005</v>
      </c>
    </row>
    <row r="42" spans="1:3" ht="20" customHeight="1">
      <c r="A42" t="s">
        <v>335</v>
      </c>
      <c r="B42" t="s">
        <v>488</v>
      </c>
      <c r="C42" t="s">
        <v>1005</v>
      </c>
    </row>
    <row r="43" spans="1:3" ht="20" customHeight="1">
      <c r="A43" t="s">
        <v>335</v>
      </c>
      <c r="B43" t="s">
        <v>491</v>
      </c>
      <c r="C43" t="s">
        <v>1005</v>
      </c>
    </row>
    <row r="44" spans="1:3" ht="20" customHeight="1">
      <c r="A44" t="s">
        <v>335</v>
      </c>
      <c r="B44" t="s">
        <v>495</v>
      </c>
      <c r="C44" t="s">
        <v>1005</v>
      </c>
    </row>
    <row r="45" spans="1:3" ht="20" customHeight="1">
      <c r="A45" t="s">
        <v>335</v>
      </c>
      <c r="B45" t="s">
        <v>498</v>
      </c>
      <c r="C45" t="s">
        <v>1005</v>
      </c>
    </row>
    <row r="46" spans="1:3" ht="20" customHeight="1">
      <c r="A46" t="s">
        <v>335</v>
      </c>
      <c r="B46" t="s">
        <v>502</v>
      </c>
      <c r="C46" t="s">
        <v>1005</v>
      </c>
    </row>
    <row r="47" spans="1:3" ht="20" customHeight="1">
      <c r="A47" t="s">
        <v>335</v>
      </c>
      <c r="B47" t="s">
        <v>506</v>
      </c>
      <c r="C47" t="s">
        <v>1005</v>
      </c>
    </row>
    <row r="48" spans="1:3" ht="20" customHeight="1">
      <c r="A48" t="s">
        <v>340</v>
      </c>
      <c r="B48" t="s">
        <v>510</v>
      </c>
      <c r="C48" t="s">
        <v>1005</v>
      </c>
    </row>
    <row r="49" spans="1:3" ht="20" customHeight="1">
      <c r="A49" t="s">
        <v>335</v>
      </c>
      <c r="B49" t="s">
        <v>513</v>
      </c>
      <c r="C49" t="s">
        <v>1005</v>
      </c>
    </row>
    <row r="50" spans="1:3" ht="20" customHeight="1">
      <c r="A50" t="s">
        <v>335</v>
      </c>
      <c r="B50" t="s">
        <v>517</v>
      </c>
      <c r="C50" t="s">
        <v>1005</v>
      </c>
    </row>
    <row r="51" spans="1:3" ht="20" customHeight="1">
      <c r="A51" t="s">
        <v>335</v>
      </c>
      <c r="B51" t="s">
        <v>520</v>
      </c>
      <c r="C51" t="s">
        <v>1005</v>
      </c>
    </row>
    <row r="52" spans="1:3" ht="20" customHeight="1">
      <c r="A52" t="s">
        <v>340</v>
      </c>
      <c r="B52" t="s">
        <v>523</v>
      </c>
      <c r="C52" t="s">
        <v>1005</v>
      </c>
    </row>
    <row r="53" spans="1:3" ht="20" customHeight="1">
      <c r="A53" t="s">
        <v>335</v>
      </c>
      <c r="B53" t="s">
        <v>526</v>
      </c>
      <c r="C53" t="s">
        <v>1005</v>
      </c>
    </row>
    <row r="54" spans="1:3" ht="20" customHeight="1">
      <c r="A54" t="s">
        <v>335</v>
      </c>
      <c r="B54" t="s">
        <v>530</v>
      </c>
      <c r="C54" t="s">
        <v>1005</v>
      </c>
    </row>
    <row r="55" spans="1:3" ht="20" customHeight="1">
      <c r="A55" t="s">
        <v>340</v>
      </c>
      <c r="B55" t="s">
        <v>534</v>
      </c>
      <c r="C55" t="s">
        <v>1005</v>
      </c>
    </row>
    <row r="56" spans="1:3" ht="20" customHeight="1">
      <c r="A56" t="s">
        <v>340</v>
      </c>
      <c r="B56" t="s">
        <v>537</v>
      </c>
      <c r="C56" t="s">
        <v>1005</v>
      </c>
    </row>
    <row r="57" spans="1:3" ht="20" customHeight="1">
      <c r="A57" t="s">
        <v>335</v>
      </c>
      <c r="B57" t="s">
        <v>543</v>
      </c>
      <c r="C57" t="s">
        <v>1005</v>
      </c>
    </row>
    <row r="58" spans="1:3" ht="20" customHeight="1">
      <c r="A58" t="s">
        <v>340</v>
      </c>
      <c r="B58" t="s">
        <v>547</v>
      </c>
      <c r="C58" t="s">
        <v>1005</v>
      </c>
    </row>
    <row r="59" spans="1:3" ht="20" customHeight="1">
      <c r="A59" t="s">
        <v>340</v>
      </c>
      <c r="B59" t="s">
        <v>551</v>
      </c>
      <c r="C59" t="s">
        <v>1005</v>
      </c>
    </row>
    <row r="60" spans="1:3" ht="20" customHeight="1">
      <c r="A60" t="s">
        <v>335</v>
      </c>
      <c r="B60" t="s">
        <v>555</v>
      </c>
      <c r="C60" t="s">
        <v>1005</v>
      </c>
    </row>
    <row r="61" spans="1:3" ht="20" customHeight="1">
      <c r="A61" t="s">
        <v>335</v>
      </c>
      <c r="B61" t="s">
        <v>559</v>
      </c>
      <c r="C61" t="s">
        <v>1005</v>
      </c>
    </row>
    <row r="62" spans="1:3" ht="20" customHeight="1">
      <c r="A62" t="s">
        <v>335</v>
      </c>
      <c r="B62" t="s">
        <v>563</v>
      </c>
      <c r="C62" t="s">
        <v>1005</v>
      </c>
    </row>
    <row r="63" spans="1:3" ht="20" customHeight="1">
      <c r="A63" t="s">
        <v>340</v>
      </c>
      <c r="B63" t="s">
        <v>567</v>
      </c>
      <c r="C63" t="s">
        <v>1005</v>
      </c>
    </row>
    <row r="64" spans="1:3" ht="20" customHeight="1">
      <c r="A64" t="s">
        <v>335</v>
      </c>
      <c r="B64" t="s">
        <v>571</v>
      </c>
      <c r="C64" t="s">
        <v>1005</v>
      </c>
    </row>
    <row r="65" spans="1:3" ht="20" customHeight="1">
      <c r="A65" t="s">
        <v>340</v>
      </c>
      <c r="B65" t="s">
        <v>574</v>
      </c>
      <c r="C65" t="s">
        <v>1005</v>
      </c>
    </row>
    <row r="66" spans="1:3" ht="20" customHeight="1">
      <c r="A66" t="s">
        <v>340</v>
      </c>
      <c r="B66" t="s">
        <v>577</v>
      </c>
      <c r="C66" t="s">
        <v>1005</v>
      </c>
    </row>
    <row r="67" spans="1:3" ht="20" customHeight="1">
      <c r="A67" t="s">
        <v>340</v>
      </c>
      <c r="B67" t="s">
        <v>580</v>
      </c>
      <c r="C67" t="s">
        <v>1005</v>
      </c>
    </row>
    <row r="68" spans="1:3" ht="20" customHeight="1">
      <c r="A68" t="s">
        <v>340</v>
      </c>
      <c r="B68" t="s">
        <v>584</v>
      </c>
      <c r="C68" t="s">
        <v>1005</v>
      </c>
    </row>
    <row r="69" spans="1:3" ht="20" customHeight="1">
      <c r="A69" t="s">
        <v>335</v>
      </c>
      <c r="B69" t="s">
        <v>587</v>
      </c>
      <c r="C69" t="s">
        <v>1005</v>
      </c>
    </row>
    <row r="70" spans="1:3" ht="20" customHeight="1">
      <c r="A70" t="s">
        <v>335</v>
      </c>
      <c r="B70" t="s">
        <v>590</v>
      </c>
      <c r="C70" t="s">
        <v>1005</v>
      </c>
    </row>
    <row r="71" spans="1:3" ht="20" customHeight="1">
      <c r="A71" t="s">
        <v>335</v>
      </c>
      <c r="B71" t="s">
        <v>592</v>
      </c>
      <c r="C71" t="s">
        <v>1005</v>
      </c>
    </row>
    <row r="72" spans="1:3" ht="20" customHeight="1">
      <c r="A72" t="s">
        <v>335</v>
      </c>
      <c r="B72" t="s">
        <v>595</v>
      </c>
      <c r="C72" t="s">
        <v>1005</v>
      </c>
    </row>
    <row r="73" spans="1:3" ht="20" customHeight="1">
      <c r="A73" t="s">
        <v>340</v>
      </c>
      <c r="B73" t="s">
        <v>599</v>
      </c>
      <c r="C73" t="s">
        <v>1005</v>
      </c>
    </row>
    <row r="74" spans="1:3" ht="20" customHeight="1">
      <c r="A74" t="s">
        <v>335</v>
      </c>
      <c r="B74" t="s">
        <v>603</v>
      </c>
      <c r="C74" t="s">
        <v>1005</v>
      </c>
    </row>
    <row r="75" spans="1:3" ht="20" customHeight="1">
      <c r="A75" t="s">
        <v>335</v>
      </c>
      <c r="B75" t="s">
        <v>606</v>
      </c>
      <c r="C75" t="s">
        <v>1005</v>
      </c>
    </row>
    <row r="76" spans="1:3" ht="20" customHeight="1">
      <c r="A76" t="s">
        <v>335</v>
      </c>
      <c r="B76" t="s">
        <v>609</v>
      </c>
      <c r="C76" t="s">
        <v>1005</v>
      </c>
    </row>
    <row r="77" spans="1:3" ht="20" customHeight="1">
      <c r="A77" t="s">
        <v>340</v>
      </c>
      <c r="B77" t="s">
        <v>613</v>
      </c>
      <c r="C77" t="s">
        <v>1005</v>
      </c>
    </row>
    <row r="78" spans="1:3" ht="20" customHeight="1">
      <c r="A78" t="s">
        <v>340</v>
      </c>
      <c r="B78" t="s">
        <v>616</v>
      </c>
      <c r="C78" t="s">
        <v>1005</v>
      </c>
    </row>
    <row r="79" spans="1:3" ht="20" customHeight="1">
      <c r="A79" t="s">
        <v>340</v>
      </c>
      <c r="B79" t="s">
        <v>619</v>
      </c>
      <c r="C79" t="s">
        <v>1005</v>
      </c>
    </row>
    <row r="80" spans="1:3" ht="20" customHeight="1">
      <c r="A80" t="s">
        <v>340</v>
      </c>
      <c r="B80" t="s">
        <v>621</v>
      </c>
      <c r="C80" t="s">
        <v>1005</v>
      </c>
    </row>
    <row r="81" spans="1:3" ht="20" customHeight="1">
      <c r="A81" t="s">
        <v>335</v>
      </c>
      <c r="B81" t="s">
        <v>624</v>
      </c>
      <c r="C81" t="s">
        <v>1005</v>
      </c>
    </row>
    <row r="82" spans="1:3" ht="20" customHeight="1">
      <c r="A82" t="s">
        <v>335</v>
      </c>
      <c r="B82" t="s">
        <v>627</v>
      </c>
      <c r="C82" t="s">
        <v>1005</v>
      </c>
    </row>
    <row r="83" spans="1:3" ht="20" customHeight="1">
      <c r="A83" t="s">
        <v>335</v>
      </c>
      <c r="B83" t="s">
        <v>631</v>
      </c>
      <c r="C83" t="s">
        <v>1005</v>
      </c>
    </row>
    <row r="84" spans="1:3" ht="20" customHeight="1">
      <c r="A84" t="s">
        <v>340</v>
      </c>
      <c r="B84" t="s">
        <v>635</v>
      </c>
      <c r="C84" t="s">
        <v>1005</v>
      </c>
    </row>
    <row r="85" spans="1:3" ht="20" customHeight="1">
      <c r="A85" t="s">
        <v>335</v>
      </c>
      <c r="B85" t="s">
        <v>638</v>
      </c>
      <c r="C85" t="s">
        <v>1005</v>
      </c>
    </row>
    <row r="86" spans="1:3" ht="20" customHeight="1">
      <c r="A86" t="s">
        <v>335</v>
      </c>
      <c r="B86" t="s">
        <v>641</v>
      </c>
      <c r="C86" t="s">
        <v>1005</v>
      </c>
    </row>
    <row r="87" spans="1:3" ht="20" customHeight="1">
      <c r="A87" t="s">
        <v>335</v>
      </c>
      <c r="B87" t="s">
        <v>644</v>
      </c>
      <c r="C87" t="s">
        <v>1005</v>
      </c>
    </row>
    <row r="88" spans="1:3" ht="20" customHeight="1">
      <c r="A88" t="s">
        <v>335</v>
      </c>
      <c r="B88" t="s">
        <v>648</v>
      </c>
      <c r="C88" t="s">
        <v>1005</v>
      </c>
    </row>
    <row r="89" spans="1:3" ht="20" customHeight="1">
      <c r="A89" t="s">
        <v>335</v>
      </c>
      <c r="B89" t="s">
        <v>651</v>
      </c>
      <c r="C89" t="s">
        <v>1005</v>
      </c>
    </row>
    <row r="90" spans="1:3" ht="20" customHeight="1">
      <c r="A90" t="s">
        <v>335</v>
      </c>
      <c r="B90" t="s">
        <v>654</v>
      </c>
      <c r="C90" t="s">
        <v>1005</v>
      </c>
    </row>
    <row r="91" spans="1:3" ht="20" customHeight="1">
      <c r="A91" t="s">
        <v>335</v>
      </c>
      <c r="B91" t="s">
        <v>657</v>
      </c>
      <c r="C91" t="s">
        <v>1005</v>
      </c>
    </row>
    <row r="92" spans="1:3" ht="20" customHeight="1">
      <c r="A92" t="s">
        <v>335</v>
      </c>
      <c r="B92" t="s">
        <v>661</v>
      </c>
      <c r="C92" t="s">
        <v>1005</v>
      </c>
    </row>
    <row r="93" spans="1:3" ht="20" customHeight="1">
      <c r="A93" t="s">
        <v>340</v>
      </c>
      <c r="B93" t="s">
        <v>664</v>
      </c>
      <c r="C93" t="s">
        <v>1005</v>
      </c>
    </row>
    <row r="94" spans="1:3" ht="20" customHeight="1">
      <c r="A94" t="s">
        <v>340</v>
      </c>
      <c r="B94" t="s">
        <v>667</v>
      </c>
      <c r="C94" t="s">
        <v>1005</v>
      </c>
    </row>
    <row r="95" spans="1:3" ht="20" customHeight="1">
      <c r="A95" t="s">
        <v>335</v>
      </c>
      <c r="B95" t="s">
        <v>671</v>
      </c>
      <c r="C95" t="s">
        <v>1005</v>
      </c>
    </row>
    <row r="96" spans="1:3" ht="20" customHeight="1">
      <c r="A96" t="s">
        <v>340</v>
      </c>
      <c r="B96" t="s">
        <v>674</v>
      </c>
      <c r="C96" t="s">
        <v>1005</v>
      </c>
    </row>
    <row r="97" spans="1:3" ht="20" customHeight="1">
      <c r="A97" t="s">
        <v>335</v>
      </c>
      <c r="B97" t="s">
        <v>677</v>
      </c>
      <c r="C97" t="s">
        <v>1005</v>
      </c>
    </row>
    <row r="98" spans="1:3" ht="20" customHeight="1">
      <c r="A98" t="s">
        <v>335</v>
      </c>
      <c r="B98" t="s">
        <v>680</v>
      </c>
      <c r="C98" t="s">
        <v>1005</v>
      </c>
    </row>
    <row r="99" spans="1:3" ht="20" customHeight="1">
      <c r="A99" t="s">
        <v>335</v>
      </c>
      <c r="B99" t="s">
        <v>683</v>
      </c>
      <c r="C99" t="s">
        <v>1005</v>
      </c>
    </row>
    <row r="100" spans="1:3" ht="20" customHeight="1">
      <c r="A100" t="s">
        <v>340</v>
      </c>
      <c r="B100" t="s">
        <v>686</v>
      </c>
      <c r="C100" t="s">
        <v>1005</v>
      </c>
    </row>
    <row r="101" spans="1:3" ht="20" customHeight="1">
      <c r="A101" t="s">
        <v>340</v>
      </c>
      <c r="B101" t="s">
        <v>690</v>
      </c>
      <c r="C101" t="s">
        <v>1005</v>
      </c>
    </row>
    <row r="102" spans="1:3" ht="20" customHeight="1">
      <c r="A102" t="s">
        <v>340</v>
      </c>
      <c r="B102" t="s">
        <v>694</v>
      </c>
      <c r="C102" t="s">
        <v>1005</v>
      </c>
    </row>
    <row r="103" spans="1:3" ht="20" customHeight="1">
      <c r="A103" t="s">
        <v>340</v>
      </c>
      <c r="B103" t="s">
        <v>699</v>
      </c>
      <c r="C103" t="s">
        <v>1005</v>
      </c>
    </row>
    <row r="104" spans="1:3" ht="20" customHeight="1">
      <c r="A104" t="s">
        <v>340</v>
      </c>
      <c r="B104" t="s">
        <v>703</v>
      </c>
      <c r="C104" t="s">
        <v>1005</v>
      </c>
    </row>
    <row r="105" spans="1:3" ht="20" customHeight="1">
      <c r="A105" t="s">
        <v>335</v>
      </c>
      <c r="B105" t="s">
        <v>706</v>
      </c>
      <c r="C105" t="s">
        <v>1005</v>
      </c>
    </row>
    <row r="106" spans="1:3" ht="20" customHeight="1">
      <c r="A106" t="s">
        <v>340</v>
      </c>
      <c r="B106" t="s">
        <v>710</v>
      </c>
      <c r="C106" t="s">
        <v>1005</v>
      </c>
    </row>
    <row r="107" spans="1:3" ht="20" customHeight="1">
      <c r="A107" t="s">
        <v>335</v>
      </c>
      <c r="B107" t="s">
        <v>713</v>
      </c>
      <c r="C107" t="s">
        <v>1005</v>
      </c>
    </row>
    <row r="108" spans="1:3" ht="20" customHeight="1">
      <c r="A108" t="s">
        <v>340</v>
      </c>
      <c r="B108" t="s">
        <v>717</v>
      </c>
      <c r="C108" t="s">
        <v>1005</v>
      </c>
    </row>
    <row r="109" spans="1:3" ht="20" customHeight="1">
      <c r="A109" t="s">
        <v>340</v>
      </c>
      <c r="B109" t="s">
        <v>721</v>
      </c>
      <c r="C109" t="s">
        <v>1005</v>
      </c>
    </row>
    <row r="110" spans="1:3" ht="20" customHeight="1">
      <c r="A110" t="s">
        <v>335</v>
      </c>
      <c r="B110" t="s">
        <v>725</v>
      </c>
      <c r="C110" t="s">
        <v>1005</v>
      </c>
    </row>
    <row r="111" spans="1:3" ht="20" customHeight="1">
      <c r="A111" t="s">
        <v>335</v>
      </c>
      <c r="B111" t="s">
        <v>728</v>
      </c>
      <c r="C111" t="s">
        <v>1005</v>
      </c>
    </row>
    <row r="112" spans="1:3" ht="20" customHeight="1">
      <c r="A112" t="s">
        <v>340</v>
      </c>
      <c r="B112" t="s">
        <v>732</v>
      </c>
      <c r="C112" t="s">
        <v>1006</v>
      </c>
    </row>
    <row r="113" spans="1:3" ht="20" customHeight="1">
      <c r="A113" t="s">
        <v>335</v>
      </c>
      <c r="B113" t="s">
        <v>735</v>
      </c>
      <c r="C113" t="s">
        <v>1006</v>
      </c>
    </row>
    <row r="114" spans="1:3" ht="20" customHeight="1">
      <c r="A114" t="s">
        <v>340</v>
      </c>
      <c r="B114" t="s">
        <v>738</v>
      </c>
      <c r="C114" t="s">
        <v>1006</v>
      </c>
    </row>
    <row r="115" spans="1:3" ht="20" customHeight="1">
      <c r="A115" t="s">
        <v>340</v>
      </c>
      <c r="B115" t="s">
        <v>741</v>
      </c>
      <c r="C115" t="s">
        <v>1006</v>
      </c>
    </row>
    <row r="116" spans="1:3" ht="20" customHeight="1">
      <c r="A116" t="s">
        <v>340</v>
      </c>
      <c r="B116" t="s">
        <v>745</v>
      </c>
      <c r="C116" t="s">
        <v>1006</v>
      </c>
    </row>
    <row r="117" spans="1:3" ht="20" customHeight="1">
      <c r="A117" t="s">
        <v>340</v>
      </c>
      <c r="B117" t="s">
        <v>747</v>
      </c>
      <c r="C117" t="s">
        <v>1006</v>
      </c>
    </row>
    <row r="118" spans="1:3" ht="20" customHeight="1">
      <c r="A118" t="s">
        <v>340</v>
      </c>
      <c r="B118" t="s">
        <v>749</v>
      </c>
      <c r="C118" t="s">
        <v>1006</v>
      </c>
    </row>
    <row r="119" spans="1:3" ht="20" customHeight="1">
      <c r="A119" t="s">
        <v>335</v>
      </c>
      <c r="B119" t="s">
        <v>752</v>
      </c>
      <c r="C119" t="s">
        <v>1006</v>
      </c>
    </row>
    <row r="120" spans="1:3" ht="20" customHeight="1">
      <c r="A120" t="s">
        <v>335</v>
      </c>
      <c r="B120" t="s">
        <v>754</v>
      </c>
      <c r="C120" t="s">
        <v>1006</v>
      </c>
    </row>
    <row r="121" spans="1:3" ht="20" customHeight="1">
      <c r="A121" t="s">
        <v>335</v>
      </c>
      <c r="B121" t="s">
        <v>757</v>
      </c>
      <c r="C121" t="s">
        <v>1006</v>
      </c>
    </row>
    <row r="122" spans="1:3" ht="20" customHeight="1">
      <c r="A122" t="s">
        <v>335</v>
      </c>
      <c r="B122" t="s">
        <v>759</v>
      </c>
      <c r="C122" t="s">
        <v>1006</v>
      </c>
    </row>
    <row r="123" spans="1:3" ht="20" customHeight="1">
      <c r="A123" t="s">
        <v>340</v>
      </c>
      <c r="B123" t="s">
        <v>762</v>
      </c>
      <c r="C123" t="s">
        <v>1006</v>
      </c>
    </row>
    <row r="124" spans="1:3" ht="20" customHeight="1">
      <c r="A124" t="s">
        <v>340</v>
      </c>
      <c r="B124" t="s">
        <v>765</v>
      </c>
      <c r="C124" t="s">
        <v>1006</v>
      </c>
    </row>
    <row r="125" spans="1:3" ht="20" customHeight="1">
      <c r="A125" t="s">
        <v>340</v>
      </c>
      <c r="B125" t="s">
        <v>769</v>
      </c>
      <c r="C125" t="s">
        <v>1006</v>
      </c>
    </row>
    <row r="126" spans="1:3" ht="20" customHeight="1">
      <c r="A126" t="s">
        <v>340</v>
      </c>
      <c r="B126" t="s">
        <v>772</v>
      </c>
      <c r="C126" t="s">
        <v>1006</v>
      </c>
    </row>
    <row r="127" spans="1:3" ht="20" customHeight="1">
      <c r="A127" t="s">
        <v>340</v>
      </c>
      <c r="B127" t="s">
        <v>774</v>
      </c>
      <c r="C127" t="s">
        <v>1006</v>
      </c>
    </row>
    <row r="128" spans="1:3" ht="20" customHeight="1">
      <c r="A128" t="s">
        <v>335</v>
      </c>
      <c r="B128" t="s">
        <v>776</v>
      </c>
      <c r="C128" t="s">
        <v>1006</v>
      </c>
    </row>
    <row r="129" spans="1:3" ht="20" customHeight="1">
      <c r="A129" t="s">
        <v>340</v>
      </c>
      <c r="B129" t="s">
        <v>779</v>
      </c>
      <c r="C129" t="s">
        <v>1006</v>
      </c>
    </row>
    <row r="130" spans="1:3" ht="20" customHeight="1">
      <c r="A130" t="s">
        <v>340</v>
      </c>
      <c r="B130" t="s">
        <v>782</v>
      </c>
      <c r="C130" t="s">
        <v>1006</v>
      </c>
    </row>
    <row r="131" spans="1:3" ht="20" customHeight="1">
      <c r="A131" t="s">
        <v>335</v>
      </c>
      <c r="B131" t="s">
        <v>785</v>
      </c>
      <c r="C131" t="s">
        <v>1006</v>
      </c>
    </row>
    <row r="132" spans="1:3" ht="20" customHeight="1">
      <c r="A132" t="s">
        <v>335</v>
      </c>
      <c r="B132" t="s">
        <v>789</v>
      </c>
      <c r="C132" t="s">
        <v>1006</v>
      </c>
    </row>
    <row r="133" spans="1:3" ht="20" customHeight="1">
      <c r="A133" t="s">
        <v>335</v>
      </c>
      <c r="B133" t="s">
        <v>793</v>
      </c>
      <c r="C133" t="s">
        <v>1006</v>
      </c>
    </row>
    <row r="134" spans="1:3" ht="20" customHeight="1">
      <c r="A134" t="s">
        <v>335</v>
      </c>
      <c r="B134" t="s">
        <v>796</v>
      </c>
      <c r="C134" t="s">
        <v>1006</v>
      </c>
    </row>
    <row r="135" spans="1:3" ht="20" customHeight="1">
      <c r="A135" t="s">
        <v>335</v>
      </c>
      <c r="B135" t="s">
        <v>800</v>
      </c>
      <c r="C135" t="s">
        <v>1006</v>
      </c>
    </row>
    <row r="136" spans="1:3" ht="20" customHeight="1">
      <c r="A136" t="s">
        <v>340</v>
      </c>
      <c r="B136" t="s">
        <v>803</v>
      </c>
      <c r="C136" t="s">
        <v>1006</v>
      </c>
    </row>
    <row r="137" spans="1:3" ht="20" customHeight="1">
      <c r="A137" t="s">
        <v>335</v>
      </c>
      <c r="B137" t="s">
        <v>806</v>
      </c>
      <c r="C137" t="s">
        <v>1006</v>
      </c>
    </row>
    <row r="138" spans="1:3" ht="20" customHeight="1">
      <c r="A138" t="s">
        <v>335</v>
      </c>
      <c r="B138" t="s">
        <v>810</v>
      </c>
      <c r="C138" t="s">
        <v>1006</v>
      </c>
    </row>
    <row r="139" spans="1:3" ht="20" customHeight="1">
      <c r="A139" t="s">
        <v>335</v>
      </c>
      <c r="B139" t="s">
        <v>813</v>
      </c>
      <c r="C139" t="s">
        <v>1006</v>
      </c>
    </row>
    <row r="140" spans="1:3" ht="20" customHeight="1">
      <c r="A140" t="s">
        <v>340</v>
      </c>
      <c r="B140" t="s">
        <v>817</v>
      </c>
      <c r="C140" t="s">
        <v>1006</v>
      </c>
    </row>
    <row r="141" spans="1:3" ht="20" customHeight="1">
      <c r="A141" t="s">
        <v>340</v>
      </c>
      <c r="B141" t="s">
        <v>820</v>
      </c>
      <c r="C141" t="s">
        <v>1006</v>
      </c>
    </row>
    <row r="142" spans="1:3" ht="20" customHeight="1">
      <c r="A142" t="s">
        <v>335</v>
      </c>
      <c r="B142" t="s">
        <v>823</v>
      </c>
      <c r="C142" t="s">
        <v>1006</v>
      </c>
    </row>
    <row r="143" spans="1:3" ht="20" customHeight="1">
      <c r="A143" t="s">
        <v>340</v>
      </c>
      <c r="B143" t="s">
        <v>827</v>
      </c>
      <c r="C143" t="s">
        <v>1006</v>
      </c>
    </row>
    <row r="144" spans="1:3" ht="20" customHeight="1">
      <c r="A144" t="s">
        <v>335</v>
      </c>
      <c r="B144" t="s">
        <v>830</v>
      </c>
      <c r="C144" t="s">
        <v>1006</v>
      </c>
    </row>
    <row r="145" spans="1:3" ht="20" customHeight="1">
      <c r="A145" t="s">
        <v>335</v>
      </c>
      <c r="B145" t="s">
        <v>833</v>
      </c>
      <c r="C145" t="s">
        <v>1006</v>
      </c>
    </row>
    <row r="146" spans="1:3" ht="20" customHeight="1">
      <c r="A146" t="s">
        <v>340</v>
      </c>
      <c r="B146" t="s">
        <v>836</v>
      </c>
      <c r="C146" t="s">
        <v>1006</v>
      </c>
    </row>
    <row r="147" spans="1:3" ht="20" customHeight="1">
      <c r="A147" t="s">
        <v>340</v>
      </c>
      <c r="B147" t="s">
        <v>838</v>
      </c>
      <c r="C147" t="s">
        <v>1006</v>
      </c>
    </row>
    <row r="148" spans="1:3" ht="20" customHeight="1">
      <c r="A148" t="s">
        <v>340</v>
      </c>
      <c r="B148" t="s">
        <v>840</v>
      </c>
      <c r="C148" t="s">
        <v>1006</v>
      </c>
    </row>
    <row r="149" spans="1:3" ht="20" customHeight="1">
      <c r="A149" t="s">
        <v>340</v>
      </c>
      <c r="B149" t="s">
        <v>844</v>
      </c>
      <c r="C149" t="s">
        <v>1006</v>
      </c>
    </row>
    <row r="150" spans="1:3" ht="20" customHeight="1">
      <c r="A150" t="s">
        <v>340</v>
      </c>
      <c r="B150" t="s">
        <v>847</v>
      </c>
      <c r="C150" t="s">
        <v>1006</v>
      </c>
    </row>
    <row r="151" spans="1:3" ht="20" customHeight="1">
      <c r="A151" t="s">
        <v>335</v>
      </c>
      <c r="B151" t="s">
        <v>849</v>
      </c>
      <c r="C151" t="s">
        <v>1006</v>
      </c>
    </row>
    <row r="152" spans="1:3" ht="20" customHeight="1">
      <c r="A152" t="s">
        <v>335</v>
      </c>
      <c r="B152" t="s">
        <v>851</v>
      </c>
      <c r="C152" t="s">
        <v>1006</v>
      </c>
    </row>
    <row r="153" spans="1:3" ht="20" customHeight="1">
      <c r="A153" t="s">
        <v>335</v>
      </c>
      <c r="B153" t="s">
        <v>853</v>
      </c>
      <c r="C153" t="s">
        <v>1006</v>
      </c>
    </row>
    <row r="154" spans="1:3" ht="20" customHeight="1">
      <c r="A154" t="s">
        <v>335</v>
      </c>
      <c r="B154" t="s">
        <v>857</v>
      </c>
      <c r="C154" t="s">
        <v>1006</v>
      </c>
    </row>
    <row r="155" spans="1:3" ht="20" customHeight="1">
      <c r="A155" t="s">
        <v>340</v>
      </c>
      <c r="B155" t="s">
        <v>859</v>
      </c>
      <c r="C155" t="s">
        <v>1006</v>
      </c>
    </row>
    <row r="156" spans="1:3" ht="20" customHeight="1">
      <c r="A156" t="s">
        <v>335</v>
      </c>
      <c r="B156" t="s">
        <v>861</v>
      </c>
      <c r="C156" t="s">
        <v>1006</v>
      </c>
    </row>
    <row r="157" spans="1:3" ht="20" customHeight="1">
      <c r="A157" t="s">
        <v>335</v>
      </c>
      <c r="B157" t="s">
        <v>863</v>
      </c>
      <c r="C157" t="s">
        <v>1006</v>
      </c>
    </row>
    <row r="158" spans="1:3" ht="20" customHeight="1">
      <c r="A158" t="s">
        <v>335</v>
      </c>
      <c r="B158" t="s">
        <v>866</v>
      </c>
      <c r="C158" t="s">
        <v>1006</v>
      </c>
    </row>
    <row r="159" spans="1:3" ht="20" customHeight="1">
      <c r="A159" t="s">
        <v>335</v>
      </c>
      <c r="B159" t="s">
        <v>870</v>
      </c>
      <c r="C159" t="s">
        <v>1006</v>
      </c>
    </row>
    <row r="160" spans="1:3" ht="20" customHeight="1">
      <c r="A160" t="s">
        <v>340</v>
      </c>
      <c r="B160" t="s">
        <v>872</v>
      </c>
      <c r="C160" t="s">
        <v>1006</v>
      </c>
    </row>
    <row r="161" spans="1:3" ht="20" customHeight="1">
      <c r="A161" t="s">
        <v>335</v>
      </c>
      <c r="B161" t="s">
        <v>875</v>
      </c>
      <c r="C161" t="s">
        <v>1006</v>
      </c>
    </row>
    <row r="162" spans="1:3" ht="20" customHeight="1">
      <c r="A162" t="s">
        <v>335</v>
      </c>
      <c r="B162" t="s">
        <v>879</v>
      </c>
      <c r="C162" t="s">
        <v>1006</v>
      </c>
    </row>
    <row r="163" spans="1:3" ht="20" customHeight="1">
      <c r="A163" t="s">
        <v>340</v>
      </c>
      <c r="B163" t="s">
        <v>882</v>
      </c>
      <c r="C163" t="s">
        <v>1006</v>
      </c>
    </row>
    <row r="164" spans="1:3" ht="20" customHeight="1">
      <c r="A164" t="s">
        <v>340</v>
      </c>
      <c r="B164" t="s">
        <v>885</v>
      </c>
      <c r="C164" t="s">
        <v>1006</v>
      </c>
    </row>
    <row r="165" spans="1:3" ht="20" customHeight="1">
      <c r="A165" t="s">
        <v>340</v>
      </c>
      <c r="B165" t="s">
        <v>888</v>
      </c>
      <c r="C165" t="s">
        <v>1006</v>
      </c>
    </row>
    <row r="166" spans="1:3" ht="20" customHeight="1">
      <c r="A166" t="s">
        <v>335</v>
      </c>
      <c r="B166" t="s">
        <v>890</v>
      </c>
      <c r="C166" t="s">
        <v>1006</v>
      </c>
    </row>
    <row r="167" spans="1:3" ht="20" customHeight="1">
      <c r="A167" t="s">
        <v>340</v>
      </c>
      <c r="B167" t="s">
        <v>893</v>
      </c>
      <c r="C167" t="s">
        <v>1006</v>
      </c>
    </row>
    <row r="168" spans="1:3" ht="20" customHeight="1">
      <c r="A168" t="s">
        <v>335</v>
      </c>
      <c r="B168" t="s">
        <v>896</v>
      </c>
      <c r="C168" t="s">
        <v>1006</v>
      </c>
    </row>
    <row r="169" spans="1:3" ht="20" customHeight="1">
      <c r="A169" t="s">
        <v>340</v>
      </c>
      <c r="B169" t="s">
        <v>900</v>
      </c>
      <c r="C169" t="s">
        <v>1006</v>
      </c>
    </row>
    <row r="170" spans="1:3" ht="20" customHeight="1">
      <c r="A170" t="s">
        <v>335</v>
      </c>
      <c r="B170" t="s">
        <v>903</v>
      </c>
      <c r="C170" t="s">
        <v>1006</v>
      </c>
    </row>
    <row r="171" spans="1:3" ht="20" customHeight="1">
      <c r="A171" t="s">
        <v>340</v>
      </c>
      <c r="B171" t="s">
        <v>905</v>
      </c>
      <c r="C171" t="s">
        <v>1006</v>
      </c>
    </row>
    <row r="172" spans="1:3" ht="20" customHeight="1">
      <c r="A172" t="s">
        <v>340</v>
      </c>
      <c r="B172" t="s">
        <v>908</v>
      </c>
      <c r="C172" t="s">
        <v>1006</v>
      </c>
    </row>
  </sheetData>
  <pageMargins left="0.7" right="0.7" top="0.75" bottom="0.75" header="0.3" footer="0.3"/>
  <pageSetup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tabColor rgb="FF008C95"/>
    <pageSetUpPr fitToPage="1"/>
  </sheetPr>
  <dimension ref="A1:C29"/>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20" customHeight="1"/>
  <cols>
    <col min="1" max="1" width="19.7109375" customWidth="1"/>
    <col min="2" max="2" width="45.7109375" customWidth="1"/>
    <col min="3" max="3" width="19.7109375" customWidth="1"/>
  </cols>
  <sheetData>
    <row r="1" spans="1:3" ht="20" customHeight="1">
      <c r="A1" t="s">
        <v>3</v>
      </c>
      <c r="B1" t="s">
        <v>24</v>
      </c>
      <c r="C1" t="s">
        <v>1003</v>
      </c>
    </row>
    <row r="2" spans="1:3" ht="20" customHeight="1">
      <c r="A2" t="s">
        <v>911</v>
      </c>
      <c r="B2" t="s">
        <v>914</v>
      </c>
      <c r="C2" t="s">
        <v>1005</v>
      </c>
    </row>
    <row r="3" spans="1:3" ht="20" customHeight="1">
      <c r="A3" t="s">
        <v>911</v>
      </c>
      <c r="B3" t="s">
        <v>918</v>
      </c>
      <c r="C3" t="s">
        <v>1005</v>
      </c>
    </row>
    <row r="4" spans="1:3" ht="20" customHeight="1">
      <c r="A4" t="s">
        <v>911</v>
      </c>
      <c r="B4" t="s">
        <v>922</v>
      </c>
      <c r="C4" t="s">
        <v>1005</v>
      </c>
    </row>
    <row r="5" spans="1:3" ht="20" customHeight="1">
      <c r="A5" t="s">
        <v>911</v>
      </c>
      <c r="B5" t="s">
        <v>927</v>
      </c>
      <c r="C5" t="s">
        <v>1005</v>
      </c>
    </row>
    <row r="6" spans="1:3" ht="20" customHeight="1">
      <c r="A6" t="s">
        <v>911</v>
      </c>
      <c r="B6" t="s">
        <v>931</v>
      </c>
      <c r="C6" t="s">
        <v>1005</v>
      </c>
    </row>
    <row r="7" spans="1:3" ht="20" customHeight="1">
      <c r="A7" t="s">
        <v>911</v>
      </c>
      <c r="B7" t="s">
        <v>935</v>
      </c>
      <c r="C7" t="s">
        <v>1005</v>
      </c>
    </row>
    <row r="8" spans="1:3" ht="20" customHeight="1">
      <c r="A8" t="s">
        <v>911</v>
      </c>
      <c r="B8" t="s">
        <v>938</v>
      </c>
      <c r="C8" t="s">
        <v>1005</v>
      </c>
    </row>
    <row r="9" spans="1:3" ht="20" customHeight="1">
      <c r="A9" t="s">
        <v>911</v>
      </c>
      <c r="B9" t="s">
        <v>941</v>
      </c>
      <c r="C9" t="s">
        <v>1005</v>
      </c>
    </row>
    <row r="10" spans="1:3" ht="20" customHeight="1">
      <c r="A10" t="s">
        <v>911</v>
      </c>
      <c r="B10" t="s">
        <v>944</v>
      </c>
      <c r="C10" t="s">
        <v>1005</v>
      </c>
    </row>
    <row r="11" spans="1:3" ht="20" customHeight="1">
      <c r="A11" t="s">
        <v>911</v>
      </c>
      <c r="B11" t="s">
        <v>947</v>
      </c>
      <c r="C11" t="s">
        <v>1005</v>
      </c>
    </row>
    <row r="12" spans="1:3" ht="20" customHeight="1">
      <c r="A12" t="s">
        <v>911</v>
      </c>
      <c r="B12" t="s">
        <v>950</v>
      </c>
      <c r="C12" t="s">
        <v>1005</v>
      </c>
    </row>
    <row r="13" spans="1:3" ht="20" customHeight="1">
      <c r="A13" t="s">
        <v>911</v>
      </c>
      <c r="B13" t="s">
        <v>952</v>
      </c>
      <c r="C13" t="s">
        <v>1006</v>
      </c>
    </row>
    <row r="14" spans="1:3" ht="20" customHeight="1">
      <c r="A14" t="s">
        <v>911</v>
      </c>
      <c r="B14" t="s">
        <v>955</v>
      </c>
      <c r="C14" t="s">
        <v>1006</v>
      </c>
    </row>
    <row r="15" spans="1:3" ht="20" customHeight="1">
      <c r="A15" t="s">
        <v>911</v>
      </c>
      <c r="B15" t="s">
        <v>959</v>
      </c>
      <c r="C15" t="s">
        <v>1006</v>
      </c>
    </row>
    <row r="16" spans="1:3" ht="20" customHeight="1">
      <c r="A16" t="s">
        <v>911</v>
      </c>
      <c r="B16" t="s">
        <v>963</v>
      </c>
      <c r="C16" t="s">
        <v>1006</v>
      </c>
    </row>
    <row r="17" spans="1:3" ht="20" customHeight="1">
      <c r="A17" t="s">
        <v>911</v>
      </c>
      <c r="B17" t="s">
        <v>965</v>
      </c>
      <c r="C17" t="s">
        <v>1006</v>
      </c>
    </row>
    <row r="18" spans="1:3" ht="20" customHeight="1">
      <c r="A18" t="s">
        <v>911</v>
      </c>
      <c r="B18" t="s">
        <v>968</v>
      </c>
      <c r="C18" t="s">
        <v>1006</v>
      </c>
    </row>
    <row r="19" spans="1:3" ht="20" customHeight="1">
      <c r="A19" t="s">
        <v>911</v>
      </c>
      <c r="B19" t="s">
        <v>971</v>
      </c>
      <c r="C19" t="s">
        <v>1006</v>
      </c>
    </row>
    <row r="20" spans="1:3" ht="20" customHeight="1">
      <c r="A20" t="s">
        <v>911</v>
      </c>
      <c r="B20" t="s">
        <v>975</v>
      </c>
      <c r="C20" t="s">
        <v>1006</v>
      </c>
    </row>
    <row r="21" spans="1:3" ht="20" customHeight="1">
      <c r="A21" t="s">
        <v>911</v>
      </c>
      <c r="B21" t="s">
        <v>978</v>
      </c>
      <c r="C21" t="s">
        <v>1006</v>
      </c>
    </row>
    <row r="22" spans="1:3" ht="20" customHeight="1">
      <c r="A22" t="s">
        <v>911</v>
      </c>
      <c r="B22" t="s">
        <v>981</v>
      </c>
      <c r="C22" t="s">
        <v>1006</v>
      </c>
    </row>
    <row r="23" spans="1:3" ht="20" customHeight="1">
      <c r="A23" t="s">
        <v>911</v>
      </c>
      <c r="B23" t="s">
        <v>984</v>
      </c>
      <c r="C23" t="s">
        <v>1006</v>
      </c>
    </row>
    <row r="24" spans="1:3" ht="20" customHeight="1">
      <c r="A24" t="s">
        <v>911</v>
      </c>
      <c r="B24" t="s">
        <v>987</v>
      </c>
      <c r="C24" t="s">
        <v>1006</v>
      </c>
    </row>
    <row r="25" spans="1:3" ht="20" customHeight="1">
      <c r="A25" t="s">
        <v>911</v>
      </c>
      <c r="B25" t="s">
        <v>991</v>
      </c>
      <c r="C25" t="s">
        <v>1006</v>
      </c>
    </row>
    <row r="26" spans="1:3" ht="20" customHeight="1">
      <c r="A26" t="s">
        <v>911</v>
      </c>
      <c r="B26" t="s">
        <v>994</v>
      </c>
      <c r="C26" t="s">
        <v>1006</v>
      </c>
    </row>
    <row r="27" spans="1:3" ht="20" customHeight="1">
      <c r="A27" t="s">
        <v>911</v>
      </c>
      <c r="B27" t="s">
        <v>997</v>
      </c>
      <c r="C27" t="s">
        <v>1006</v>
      </c>
    </row>
    <row r="28" spans="1:3" ht="20" customHeight="1">
      <c r="A28" t="s">
        <v>911</v>
      </c>
      <c r="B28" t="s">
        <v>1000</v>
      </c>
      <c r="C28" t="s">
        <v>1006</v>
      </c>
    </row>
    <row r="29" spans="1:3" ht="20" customHeight="1">
      <c r="A29" t="s">
        <v>911</v>
      </c>
      <c r="B29" t="s">
        <v>1002</v>
      </c>
      <c r="C29" t="s">
        <v>1006</v>
      </c>
    </row>
  </sheetData>
  <pageMargins left="0.7" right="0.7" top="0.75" bottom="0.75" header="0.3" footer="0.3"/>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sheetPr>
    <tabColor rgb="FF008C95"/>
    <pageSetUpPr fitToPage="1"/>
  </sheetPr>
  <dimension ref="A1:R265"/>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20" customHeight="1"/>
  <cols>
    <col min="1" max="18" width="19.7109375" customWidth="1"/>
  </cols>
  <sheetData>
    <row r="1" spans="1:18" ht="20" customHeight="1">
      <c r="A1" t="s">
        <v>1008</v>
      </c>
      <c r="B1" t="s">
        <v>1009</v>
      </c>
      <c r="C1" t="s">
        <v>1010</v>
      </c>
      <c r="D1" t="s">
        <v>1011</v>
      </c>
      <c r="E1" t="s">
        <v>1012</v>
      </c>
      <c r="F1" t="s">
        <v>1013</v>
      </c>
      <c r="G1" t="s">
        <v>1014</v>
      </c>
      <c r="H1" t="s">
        <v>1015</v>
      </c>
      <c r="I1" t="s">
        <v>1016</v>
      </c>
      <c r="J1" t="s">
        <v>1017</v>
      </c>
      <c r="K1" t="s">
        <v>1018</v>
      </c>
      <c r="L1" t="s">
        <v>1019</v>
      </c>
      <c r="M1" t="s">
        <v>1020</v>
      </c>
      <c r="N1" t="s">
        <v>1021</v>
      </c>
      <c r="O1" t="s">
        <v>1022</v>
      </c>
      <c r="P1" t="s">
        <v>1023</v>
      </c>
      <c r="Q1" t="s">
        <v>1024</v>
      </c>
      <c r="R1" t="s">
        <v>1025</v>
      </c>
    </row>
    <row r="2" spans="1:18" ht="20" customHeight="1">
      <c r="A2" t="s">
        <v>42</v>
      </c>
      <c r="B2" t="s">
        <v>50</v>
      </c>
      <c r="C2" t="s">
        <v>63</v>
      </c>
      <c r="D2" t="s">
        <v>1026</v>
      </c>
      <c r="E2" t="s">
        <v>342</v>
      </c>
      <c r="F2" t="s">
        <v>645</v>
      </c>
      <c r="G2" t="s">
        <v>1027</v>
      </c>
      <c r="H2" t="s">
        <v>44</v>
      </c>
      <c r="I2" t="s">
        <v>1028</v>
      </c>
      <c r="J2" t="s">
        <v>1028</v>
      </c>
      <c r="K2" t="s">
        <v>1028</v>
      </c>
      <c r="L2" t="s">
        <v>1029</v>
      </c>
      <c r="M2" t="s">
        <v>1030</v>
      </c>
      <c r="N2" t="s">
        <v>643</v>
      </c>
      <c r="O2" t="s">
        <v>48</v>
      </c>
      <c r="P2" t="s">
        <v>49</v>
      </c>
      <c r="Q2" t="s">
        <v>1004</v>
      </c>
      <c r="R2" t="s">
        <v>397</v>
      </c>
    </row>
    <row r="3" spans="1:18" ht="20" customHeight="1">
      <c r="A3" t="s">
        <v>42</v>
      </c>
      <c r="B3" t="s">
        <v>50</v>
      </c>
      <c r="C3" t="s">
        <v>35</v>
      </c>
      <c r="D3" t="s">
        <v>1031</v>
      </c>
      <c r="E3" t="s">
        <v>35</v>
      </c>
      <c r="F3" t="s">
        <v>204</v>
      </c>
      <c r="G3" t="s">
        <v>1032</v>
      </c>
      <c r="H3" t="s">
        <v>44</v>
      </c>
      <c r="I3" t="s">
        <v>1028</v>
      </c>
      <c r="J3" t="s">
        <v>1028</v>
      </c>
      <c r="K3" t="s">
        <v>1028</v>
      </c>
      <c r="L3" t="s">
        <v>1033</v>
      </c>
      <c r="M3" t="s">
        <v>1034</v>
      </c>
      <c r="N3" t="s">
        <v>199</v>
      </c>
      <c r="O3" t="s">
        <v>48</v>
      </c>
      <c r="P3" t="s">
        <v>49</v>
      </c>
      <c r="Q3" t="s">
        <v>1004</v>
      </c>
      <c r="R3" t="s">
        <v>202</v>
      </c>
    </row>
    <row r="4" spans="1:18" ht="20" customHeight="1">
      <c r="A4" t="s">
        <v>42</v>
      </c>
      <c r="B4" t="s">
        <v>229</v>
      </c>
      <c r="C4" t="s">
        <v>35</v>
      </c>
      <c r="D4" t="s">
        <v>1031</v>
      </c>
      <c r="E4" t="s">
        <v>35</v>
      </c>
      <c r="F4" t="s">
        <v>733</v>
      </c>
      <c r="G4" t="s">
        <v>1035</v>
      </c>
      <c r="H4" t="s">
        <v>44</v>
      </c>
      <c r="I4" t="s">
        <v>1028</v>
      </c>
      <c r="J4" t="s">
        <v>1028</v>
      </c>
      <c r="K4" t="s">
        <v>1028</v>
      </c>
      <c r="L4" t="s">
        <v>1036</v>
      </c>
      <c r="M4" t="s">
        <v>1037</v>
      </c>
      <c r="N4" t="s">
        <v>730</v>
      </c>
      <c r="O4" t="s">
        <v>48</v>
      </c>
      <c r="P4" t="s">
        <v>49</v>
      </c>
      <c r="Q4" t="s">
        <v>1004</v>
      </c>
      <c r="R4" t="s">
        <v>731</v>
      </c>
    </row>
    <row r="5" spans="1:18" ht="20" customHeight="1">
      <c r="A5" t="s">
        <v>42</v>
      </c>
      <c r="B5" t="s">
        <v>80</v>
      </c>
      <c r="D5" t="s">
        <v>1031</v>
      </c>
      <c r="E5" t="s">
        <v>35</v>
      </c>
      <c r="F5" t="s">
        <v>251</v>
      </c>
      <c r="G5" t="s">
        <v>1038</v>
      </c>
      <c r="H5" t="s">
        <v>44</v>
      </c>
      <c r="I5" t="s">
        <v>1028</v>
      </c>
      <c r="J5" t="s">
        <v>1028</v>
      </c>
      <c r="K5" t="s">
        <v>1028</v>
      </c>
      <c r="L5" t="s">
        <v>1039</v>
      </c>
      <c r="M5" t="s">
        <v>1040</v>
      </c>
      <c r="N5" t="s">
        <v>248</v>
      </c>
      <c r="O5" t="s">
        <v>48</v>
      </c>
      <c r="P5" t="s">
        <v>49</v>
      </c>
      <c r="Q5" t="s">
        <v>1005</v>
      </c>
      <c r="R5" t="s">
        <v>249</v>
      </c>
    </row>
    <row r="6" spans="1:18" ht="20" customHeight="1">
      <c r="A6" t="s">
        <v>42</v>
      </c>
      <c r="B6" t="s">
        <v>50</v>
      </c>
      <c r="C6" t="s">
        <v>35</v>
      </c>
      <c r="D6" t="s">
        <v>1031</v>
      </c>
      <c r="E6" t="s">
        <v>35</v>
      </c>
      <c r="F6" t="s">
        <v>186</v>
      </c>
      <c r="G6" t="s">
        <v>1041</v>
      </c>
      <c r="H6" t="s">
        <v>44</v>
      </c>
      <c r="I6" t="s">
        <v>1028</v>
      </c>
      <c r="J6" t="s">
        <v>1028</v>
      </c>
      <c r="K6" t="s">
        <v>1028</v>
      </c>
      <c r="L6" t="s">
        <v>1042</v>
      </c>
      <c r="M6" t="s">
        <v>1043</v>
      </c>
      <c r="N6" t="s">
        <v>646</v>
      </c>
      <c r="O6" t="s">
        <v>48</v>
      </c>
      <c r="P6" t="s">
        <v>49</v>
      </c>
      <c r="Q6" t="s">
        <v>1004</v>
      </c>
      <c r="R6" t="s">
        <v>647</v>
      </c>
    </row>
    <row r="7" spans="1:18" ht="20" customHeight="1">
      <c r="A7" t="s">
        <v>42</v>
      </c>
      <c r="B7" t="s">
        <v>57</v>
      </c>
      <c r="C7" t="s">
        <v>35</v>
      </c>
      <c r="D7" t="s">
        <v>1031</v>
      </c>
      <c r="E7" t="s">
        <v>35</v>
      </c>
      <c r="F7" t="s">
        <v>247</v>
      </c>
      <c r="G7" t="s">
        <v>1044</v>
      </c>
      <c r="H7" t="s">
        <v>44</v>
      </c>
      <c r="I7" t="s">
        <v>1028</v>
      </c>
      <c r="J7" t="s">
        <v>1028</v>
      </c>
      <c r="K7" t="s">
        <v>1028</v>
      </c>
      <c r="L7" t="s">
        <v>1045</v>
      </c>
      <c r="M7" t="s">
        <v>1046</v>
      </c>
      <c r="N7" t="s">
        <v>245</v>
      </c>
      <c r="O7" t="s">
        <v>48</v>
      </c>
      <c r="P7" t="s">
        <v>49</v>
      </c>
      <c r="Q7" t="s">
        <v>1004</v>
      </c>
      <c r="R7" t="s">
        <v>107</v>
      </c>
    </row>
    <row r="8" spans="1:18" ht="20" customHeight="1">
      <c r="A8" t="s">
        <v>42</v>
      </c>
      <c r="B8" t="s">
        <v>50</v>
      </c>
      <c r="C8" t="s">
        <v>63</v>
      </c>
      <c r="D8" t="s">
        <v>1031</v>
      </c>
      <c r="E8" t="s">
        <v>35</v>
      </c>
      <c r="F8" t="s">
        <v>255</v>
      </c>
      <c r="G8" t="s">
        <v>1047</v>
      </c>
      <c r="H8" t="s">
        <v>44</v>
      </c>
      <c r="I8" t="s">
        <v>1028</v>
      </c>
      <c r="J8" t="s">
        <v>1028</v>
      </c>
      <c r="K8" t="s">
        <v>1028</v>
      </c>
      <c r="L8" t="s">
        <v>1048</v>
      </c>
      <c r="M8" t="s">
        <v>1049</v>
      </c>
      <c r="N8" t="s">
        <v>252</v>
      </c>
      <c r="O8" t="s">
        <v>48</v>
      </c>
      <c r="P8" t="s">
        <v>49</v>
      </c>
      <c r="Q8" t="s">
        <v>1004</v>
      </c>
      <c r="R8" t="s">
        <v>253</v>
      </c>
    </row>
    <row r="9" spans="1:18" ht="20" customHeight="1">
      <c r="A9" t="s">
        <v>42</v>
      </c>
      <c r="B9" t="s">
        <v>75</v>
      </c>
      <c r="C9" t="s">
        <v>175</v>
      </c>
      <c r="D9" t="s">
        <v>1026</v>
      </c>
      <c r="E9" t="s">
        <v>342</v>
      </c>
      <c r="F9" t="s">
        <v>353</v>
      </c>
      <c r="G9" t="s">
        <v>1050</v>
      </c>
      <c r="H9" t="s">
        <v>44</v>
      </c>
      <c r="I9" t="s">
        <v>1028</v>
      </c>
      <c r="J9" t="s">
        <v>1028</v>
      </c>
      <c r="K9" t="s">
        <v>1028</v>
      </c>
      <c r="L9" t="s">
        <v>1051</v>
      </c>
      <c r="M9" t="s">
        <v>1052</v>
      </c>
      <c r="N9" t="s">
        <v>350</v>
      </c>
      <c r="O9" t="s">
        <v>48</v>
      </c>
      <c r="P9" t="s">
        <v>49</v>
      </c>
      <c r="Q9" t="s">
        <v>1005</v>
      </c>
      <c r="R9" t="s">
        <v>351</v>
      </c>
    </row>
    <row r="10" spans="1:18" ht="20" customHeight="1">
      <c r="A10" t="s">
        <v>42</v>
      </c>
      <c r="B10" t="s">
        <v>127</v>
      </c>
      <c r="D10" t="s">
        <v>1031</v>
      </c>
      <c r="E10" t="s">
        <v>35</v>
      </c>
      <c r="F10" t="s">
        <v>736</v>
      </c>
      <c r="G10" t="s">
        <v>1053</v>
      </c>
      <c r="H10" t="s">
        <v>44</v>
      </c>
      <c r="I10" t="s">
        <v>44</v>
      </c>
      <c r="J10" t="s">
        <v>44</v>
      </c>
      <c r="K10" t="s">
        <v>44</v>
      </c>
      <c r="L10" t="s">
        <v>1054</v>
      </c>
      <c r="M10" t="s">
        <v>1055</v>
      </c>
      <c r="N10" t="s">
        <v>734</v>
      </c>
      <c r="O10" t="s">
        <v>132</v>
      </c>
      <c r="P10" t="s">
        <v>68</v>
      </c>
      <c r="Q10" t="s">
        <v>1006</v>
      </c>
      <c r="R10" t="s">
        <v>128</v>
      </c>
    </row>
    <row r="11" spans="1:18" ht="20" customHeight="1">
      <c r="A11" t="s">
        <v>42</v>
      </c>
      <c r="B11" t="s">
        <v>75</v>
      </c>
      <c r="C11" t="s">
        <v>175</v>
      </c>
      <c r="D11" t="s">
        <v>1026</v>
      </c>
      <c r="E11" t="s">
        <v>342</v>
      </c>
      <c r="F11" t="s">
        <v>357</v>
      </c>
      <c r="G11" t="s">
        <v>1056</v>
      </c>
      <c r="H11" t="s">
        <v>44</v>
      </c>
      <c r="I11" t="s">
        <v>1028</v>
      </c>
      <c r="J11" t="s">
        <v>1028</v>
      </c>
      <c r="K11" t="s">
        <v>1028</v>
      </c>
      <c r="L11" t="s">
        <v>1057</v>
      </c>
      <c r="M11" t="s">
        <v>1058</v>
      </c>
      <c r="N11" t="s">
        <v>354</v>
      </c>
      <c r="O11" t="s">
        <v>48</v>
      </c>
      <c r="P11" t="s">
        <v>49</v>
      </c>
      <c r="Q11" t="s">
        <v>1004</v>
      </c>
      <c r="R11" t="s">
        <v>355</v>
      </c>
    </row>
    <row r="12" spans="1:18" ht="20" customHeight="1">
      <c r="A12" t="s">
        <v>42</v>
      </c>
      <c r="B12" t="s">
        <v>80</v>
      </c>
      <c r="C12" t="s">
        <v>35</v>
      </c>
      <c r="D12" t="s">
        <v>1031</v>
      </c>
      <c r="E12" t="s">
        <v>35</v>
      </c>
      <c r="F12" t="s">
        <v>739</v>
      </c>
      <c r="G12" t="s">
        <v>1059</v>
      </c>
      <c r="H12" t="s">
        <v>44</v>
      </c>
      <c r="I12" t="s">
        <v>44</v>
      </c>
      <c r="J12" t="s">
        <v>44</v>
      </c>
      <c r="K12" t="s">
        <v>44</v>
      </c>
      <c r="L12" t="s">
        <v>1060</v>
      </c>
      <c r="M12" t="s">
        <v>1061</v>
      </c>
      <c r="N12" t="s">
        <v>737</v>
      </c>
      <c r="O12" t="s">
        <v>132</v>
      </c>
      <c r="P12" t="s">
        <v>68</v>
      </c>
      <c r="Q12" t="s">
        <v>1004</v>
      </c>
      <c r="R12" t="s">
        <v>114</v>
      </c>
    </row>
    <row r="13" spans="1:18" ht="20" customHeight="1">
      <c r="A13" t="s">
        <v>42</v>
      </c>
      <c r="B13" t="s">
        <v>57</v>
      </c>
      <c r="D13" t="s">
        <v>1031</v>
      </c>
      <c r="E13" t="s">
        <v>35</v>
      </c>
      <c r="F13" t="s">
        <v>814</v>
      </c>
      <c r="G13" t="s">
        <v>1062</v>
      </c>
      <c r="H13" t="s">
        <v>44</v>
      </c>
      <c r="I13" t="s">
        <v>44</v>
      </c>
      <c r="J13" t="s">
        <v>44</v>
      </c>
      <c r="K13" t="s">
        <v>44</v>
      </c>
      <c r="L13" t="s">
        <v>1063</v>
      </c>
      <c r="M13" t="s">
        <v>1064</v>
      </c>
      <c r="N13" t="s">
        <v>812</v>
      </c>
      <c r="O13" t="s">
        <v>132</v>
      </c>
      <c r="P13" t="s">
        <v>68</v>
      </c>
      <c r="Q13" t="s">
        <v>1004</v>
      </c>
      <c r="R13" t="s">
        <v>573</v>
      </c>
    </row>
    <row r="14" spans="1:18" ht="20" customHeight="1">
      <c r="A14" t="s">
        <v>42</v>
      </c>
      <c r="B14" t="s">
        <v>57</v>
      </c>
      <c r="D14" t="s">
        <v>1031</v>
      </c>
      <c r="E14" t="s">
        <v>35</v>
      </c>
      <c r="F14" t="s">
        <v>575</v>
      </c>
      <c r="G14" t="s">
        <v>1065</v>
      </c>
      <c r="H14" t="s">
        <v>44</v>
      </c>
      <c r="I14" t="s">
        <v>1028</v>
      </c>
      <c r="J14" t="s">
        <v>1028</v>
      </c>
      <c r="K14" t="s">
        <v>1028</v>
      </c>
      <c r="L14" t="s">
        <v>1066</v>
      </c>
      <c r="M14" t="s">
        <v>1067</v>
      </c>
      <c r="N14" t="s">
        <v>572</v>
      </c>
      <c r="O14" t="s">
        <v>48</v>
      </c>
      <c r="P14" t="s">
        <v>49</v>
      </c>
      <c r="Q14" t="s">
        <v>1004</v>
      </c>
      <c r="R14" t="s">
        <v>573</v>
      </c>
    </row>
    <row r="15" spans="1:18" ht="20" customHeight="1">
      <c r="A15" t="s">
        <v>42</v>
      </c>
      <c r="B15" t="s">
        <v>75</v>
      </c>
      <c r="C15" t="s">
        <v>35</v>
      </c>
      <c r="D15" t="s">
        <v>1031</v>
      </c>
      <c r="E15" t="s">
        <v>35</v>
      </c>
      <c r="F15" t="s">
        <v>739</v>
      </c>
      <c r="G15" t="s">
        <v>1068</v>
      </c>
      <c r="H15" t="s">
        <v>44</v>
      </c>
      <c r="I15" t="s">
        <v>44</v>
      </c>
      <c r="J15" t="s">
        <v>44</v>
      </c>
      <c r="K15" t="s">
        <v>44</v>
      </c>
      <c r="L15" t="s">
        <v>1069</v>
      </c>
      <c r="M15" t="s">
        <v>1070</v>
      </c>
      <c r="N15" t="s">
        <v>979</v>
      </c>
      <c r="O15" t="s">
        <v>132</v>
      </c>
      <c r="P15" t="s">
        <v>68</v>
      </c>
      <c r="Q15" t="s">
        <v>1005</v>
      </c>
      <c r="R15" t="s">
        <v>980</v>
      </c>
    </row>
    <row r="16" spans="1:18" ht="20" customHeight="1">
      <c r="A16" t="s">
        <v>42</v>
      </c>
      <c r="B16" t="s">
        <v>294</v>
      </c>
      <c r="D16" t="s">
        <v>1031</v>
      </c>
      <c r="E16" t="s">
        <v>35</v>
      </c>
      <c r="F16" t="s">
        <v>985</v>
      </c>
      <c r="G16" t="s">
        <v>1071</v>
      </c>
      <c r="H16" t="s">
        <v>44</v>
      </c>
      <c r="I16" t="s">
        <v>44</v>
      </c>
      <c r="J16" t="s">
        <v>44</v>
      </c>
      <c r="K16" t="s">
        <v>44</v>
      </c>
      <c r="L16" t="s">
        <v>1072</v>
      </c>
      <c r="M16" t="s">
        <v>1073</v>
      </c>
      <c r="N16" t="s">
        <v>982</v>
      </c>
      <c r="O16" t="s">
        <v>132</v>
      </c>
      <c r="P16" t="s">
        <v>68</v>
      </c>
      <c r="Q16" t="s">
        <v>1005</v>
      </c>
      <c r="R16" t="s">
        <v>983</v>
      </c>
    </row>
    <row r="17" spans="1:18" ht="20" customHeight="1">
      <c r="A17" t="s">
        <v>42</v>
      </c>
      <c r="B17" t="s">
        <v>38</v>
      </c>
      <c r="C17" t="s">
        <v>35</v>
      </c>
      <c r="D17" t="s">
        <v>1031</v>
      </c>
      <c r="E17" t="s">
        <v>35</v>
      </c>
      <c r="F17" t="s">
        <v>739</v>
      </c>
      <c r="G17" t="s">
        <v>1074</v>
      </c>
      <c r="H17" t="s">
        <v>44</v>
      </c>
      <c r="I17" t="s">
        <v>44</v>
      </c>
      <c r="J17" t="s">
        <v>44</v>
      </c>
      <c r="K17" t="s">
        <v>44</v>
      </c>
      <c r="L17" t="s">
        <v>1075</v>
      </c>
      <c r="M17" t="s">
        <v>1076</v>
      </c>
      <c r="N17" t="s">
        <v>815</v>
      </c>
      <c r="O17" t="s">
        <v>132</v>
      </c>
      <c r="P17" t="s">
        <v>68</v>
      </c>
      <c r="Q17" t="s">
        <v>1004</v>
      </c>
      <c r="R17" t="s">
        <v>816</v>
      </c>
    </row>
    <row r="18" spans="1:18" ht="20" customHeight="1">
      <c r="A18" t="s">
        <v>42</v>
      </c>
      <c r="B18" t="s">
        <v>80</v>
      </c>
      <c r="C18" t="s">
        <v>35</v>
      </c>
      <c r="D18" t="s">
        <v>1031</v>
      </c>
      <c r="E18" t="s">
        <v>35</v>
      </c>
      <c r="F18" t="s">
        <v>578</v>
      </c>
      <c r="G18" t="s">
        <v>1077</v>
      </c>
      <c r="H18" t="s">
        <v>44</v>
      </c>
      <c r="I18" t="s">
        <v>44</v>
      </c>
      <c r="J18" t="s">
        <v>44</v>
      </c>
      <c r="K18" t="s">
        <v>44</v>
      </c>
      <c r="L18" t="s">
        <v>1078</v>
      </c>
      <c r="M18" t="s">
        <v>1079</v>
      </c>
      <c r="N18" t="s">
        <v>576</v>
      </c>
      <c r="O18" t="s">
        <v>132</v>
      </c>
      <c r="P18" t="s">
        <v>49</v>
      </c>
      <c r="Q18" t="s">
        <v>1005</v>
      </c>
      <c r="R18" t="s">
        <v>437</v>
      </c>
    </row>
    <row r="19" spans="1:18" ht="20" customHeight="1">
      <c r="A19" t="s">
        <v>42</v>
      </c>
      <c r="B19" t="s">
        <v>57</v>
      </c>
      <c r="C19" t="s">
        <v>35</v>
      </c>
      <c r="D19" t="s">
        <v>1031</v>
      </c>
      <c r="E19" t="s">
        <v>35</v>
      </c>
      <c r="F19" t="s">
        <v>739</v>
      </c>
      <c r="G19" t="s">
        <v>1080</v>
      </c>
      <c r="H19" t="s">
        <v>44</v>
      </c>
      <c r="I19" t="s">
        <v>44</v>
      </c>
      <c r="J19" t="s">
        <v>44</v>
      </c>
      <c r="K19" t="s">
        <v>44</v>
      </c>
      <c r="L19" t="s">
        <v>1081</v>
      </c>
      <c r="M19" t="s">
        <v>1082</v>
      </c>
      <c r="N19" t="s">
        <v>818</v>
      </c>
      <c r="O19" t="s">
        <v>132</v>
      </c>
      <c r="P19" t="s">
        <v>68</v>
      </c>
      <c r="Q19" t="s">
        <v>1005</v>
      </c>
      <c r="R19" t="s">
        <v>819</v>
      </c>
    </row>
    <row r="20" spans="1:18" ht="20" customHeight="1">
      <c r="A20" t="s">
        <v>42</v>
      </c>
      <c r="B20" t="s">
        <v>80</v>
      </c>
      <c r="C20" t="s">
        <v>35</v>
      </c>
      <c r="D20" t="s">
        <v>1031</v>
      </c>
      <c r="E20" t="s">
        <v>35</v>
      </c>
      <c r="F20" t="s">
        <v>182</v>
      </c>
      <c r="G20" t="s">
        <v>1083</v>
      </c>
      <c r="H20" t="s">
        <v>44</v>
      </c>
      <c r="I20" t="s">
        <v>1028</v>
      </c>
      <c r="J20" t="s">
        <v>1028</v>
      </c>
      <c r="K20" t="s">
        <v>1028</v>
      </c>
      <c r="L20" t="s">
        <v>1084</v>
      </c>
      <c r="M20" t="s">
        <v>1085</v>
      </c>
      <c r="N20" t="s">
        <v>179</v>
      </c>
      <c r="O20" t="s">
        <v>48</v>
      </c>
      <c r="P20" t="s">
        <v>49</v>
      </c>
      <c r="Q20" t="s">
        <v>1004</v>
      </c>
      <c r="R20" t="s">
        <v>180</v>
      </c>
    </row>
    <row r="21" spans="1:18" ht="20" customHeight="1">
      <c r="A21" t="s">
        <v>42</v>
      </c>
      <c r="B21" t="s">
        <v>375</v>
      </c>
      <c r="D21" t="s">
        <v>1031</v>
      </c>
      <c r="E21" t="s">
        <v>35</v>
      </c>
      <c r="F21" t="s">
        <v>824</v>
      </c>
      <c r="G21" t="s">
        <v>1086</v>
      </c>
      <c r="H21" t="s">
        <v>44</v>
      </c>
      <c r="I21" t="s">
        <v>44</v>
      </c>
      <c r="J21" t="s">
        <v>44</v>
      </c>
      <c r="K21" t="s">
        <v>44</v>
      </c>
      <c r="L21" t="s">
        <v>1087</v>
      </c>
      <c r="M21" t="s">
        <v>1088</v>
      </c>
      <c r="N21" t="s">
        <v>821</v>
      </c>
      <c r="O21" t="s">
        <v>132</v>
      </c>
      <c r="P21" t="s">
        <v>68</v>
      </c>
      <c r="Q21" t="s">
        <v>1004</v>
      </c>
      <c r="R21" t="s">
        <v>822</v>
      </c>
    </row>
    <row r="22" spans="1:18" ht="20" customHeight="1">
      <c r="A22" t="s">
        <v>42</v>
      </c>
      <c r="B22" t="s">
        <v>80</v>
      </c>
      <c r="C22" t="s">
        <v>35</v>
      </c>
      <c r="D22" t="s">
        <v>1031</v>
      </c>
      <c r="E22" t="s">
        <v>35</v>
      </c>
      <c r="F22" t="s">
        <v>581</v>
      </c>
      <c r="G22" t="s">
        <v>1089</v>
      </c>
      <c r="H22" t="s">
        <v>44</v>
      </c>
      <c r="I22" t="s">
        <v>1028</v>
      </c>
      <c r="J22" t="s">
        <v>1028</v>
      </c>
      <c r="K22" t="s">
        <v>1028</v>
      </c>
      <c r="L22" t="s">
        <v>1090</v>
      </c>
      <c r="M22" t="s">
        <v>1091</v>
      </c>
      <c r="N22" t="s">
        <v>579</v>
      </c>
      <c r="O22" t="s">
        <v>48</v>
      </c>
      <c r="P22" t="s">
        <v>49</v>
      </c>
      <c r="Q22" t="s">
        <v>1004</v>
      </c>
      <c r="R22" t="s">
        <v>133</v>
      </c>
    </row>
    <row r="23" spans="1:18" ht="20" customHeight="1">
      <c r="A23" t="s">
        <v>42</v>
      </c>
      <c r="B23" t="s">
        <v>75</v>
      </c>
      <c r="C23" t="s">
        <v>35</v>
      </c>
      <c r="D23" t="s">
        <v>1031</v>
      </c>
      <c r="E23" t="s">
        <v>35</v>
      </c>
      <c r="F23" t="s">
        <v>287</v>
      </c>
      <c r="G23" t="s">
        <v>1092</v>
      </c>
      <c r="H23" t="s">
        <v>44</v>
      </c>
      <c r="I23" t="s">
        <v>1028</v>
      </c>
      <c r="J23" t="s">
        <v>1028</v>
      </c>
      <c r="K23" t="s">
        <v>1028</v>
      </c>
      <c r="L23" t="s">
        <v>1093</v>
      </c>
      <c r="M23" t="s">
        <v>1094</v>
      </c>
      <c r="N23" t="s">
        <v>284</v>
      </c>
      <c r="O23" t="s">
        <v>48</v>
      </c>
      <c r="P23" t="s">
        <v>49</v>
      </c>
      <c r="Q23" t="s">
        <v>1004</v>
      </c>
      <c r="R23" t="s">
        <v>285</v>
      </c>
    </row>
    <row r="24" spans="1:18" ht="20" customHeight="1">
      <c r="A24" t="s">
        <v>42</v>
      </c>
      <c r="B24" t="s">
        <v>299</v>
      </c>
      <c r="C24" t="s">
        <v>175</v>
      </c>
      <c r="D24" t="s">
        <v>1031</v>
      </c>
      <c r="E24" t="s">
        <v>35</v>
      </c>
      <c r="F24" t="s">
        <v>585</v>
      </c>
      <c r="G24" t="s">
        <v>1095</v>
      </c>
      <c r="H24" t="s">
        <v>44</v>
      </c>
      <c r="I24" t="s">
        <v>1028</v>
      </c>
      <c r="J24" t="s">
        <v>1028</v>
      </c>
      <c r="K24" t="s">
        <v>1028</v>
      </c>
      <c r="L24" t="s">
        <v>1096</v>
      </c>
      <c r="M24" t="s">
        <v>1097</v>
      </c>
      <c r="N24" t="s">
        <v>582</v>
      </c>
      <c r="O24" t="s">
        <v>48</v>
      </c>
      <c r="P24" t="s">
        <v>49</v>
      </c>
      <c r="Q24" t="s">
        <v>1005</v>
      </c>
      <c r="R24" t="s">
        <v>583</v>
      </c>
    </row>
    <row r="25" spans="1:18" ht="20" customHeight="1">
      <c r="A25" t="s">
        <v>42</v>
      </c>
      <c r="B25" t="s">
        <v>38</v>
      </c>
      <c r="C25" t="s">
        <v>63</v>
      </c>
      <c r="D25" t="s">
        <v>1031</v>
      </c>
      <c r="E25" t="s">
        <v>35</v>
      </c>
      <c r="F25" t="s">
        <v>186</v>
      </c>
      <c r="G25" t="s">
        <v>1098</v>
      </c>
      <c r="H25" t="s">
        <v>44</v>
      </c>
      <c r="I25" t="s">
        <v>1028</v>
      </c>
      <c r="J25" t="s">
        <v>1028</v>
      </c>
      <c r="K25" t="s">
        <v>1028</v>
      </c>
      <c r="L25" t="s">
        <v>1099</v>
      </c>
      <c r="M25" t="s">
        <v>1100</v>
      </c>
      <c r="N25" t="s">
        <v>183</v>
      </c>
      <c r="O25" t="s">
        <v>48</v>
      </c>
      <c r="P25" t="s">
        <v>49</v>
      </c>
      <c r="Q25" t="s">
        <v>1004</v>
      </c>
      <c r="R25" t="s">
        <v>184</v>
      </c>
    </row>
    <row r="26" spans="1:18" ht="20" customHeight="1">
      <c r="A26" t="s">
        <v>42</v>
      </c>
      <c r="B26" t="s">
        <v>101</v>
      </c>
      <c r="D26" t="s">
        <v>1031</v>
      </c>
      <c r="E26" t="s">
        <v>35</v>
      </c>
      <c r="F26" t="s">
        <v>190</v>
      </c>
      <c r="G26" t="s">
        <v>1101</v>
      </c>
      <c r="H26" t="s">
        <v>44</v>
      </c>
      <c r="I26" t="s">
        <v>44</v>
      </c>
      <c r="J26" t="s">
        <v>44</v>
      </c>
      <c r="K26" t="s">
        <v>1028</v>
      </c>
      <c r="L26" t="s">
        <v>1102</v>
      </c>
      <c r="M26" t="s">
        <v>1103</v>
      </c>
      <c r="N26" t="s">
        <v>187</v>
      </c>
      <c r="O26" t="s">
        <v>36</v>
      </c>
      <c r="P26" t="s">
        <v>37</v>
      </c>
      <c r="Q26" t="s">
        <v>1004</v>
      </c>
      <c r="R26" t="s">
        <v>188</v>
      </c>
    </row>
    <row r="27" spans="1:18" ht="20" customHeight="1">
      <c r="A27" t="s">
        <v>42</v>
      </c>
      <c r="B27" t="s">
        <v>101</v>
      </c>
      <c r="C27" t="s">
        <v>35</v>
      </c>
      <c r="D27" t="s">
        <v>1031</v>
      </c>
      <c r="E27" t="s">
        <v>35</v>
      </c>
      <c r="F27" t="s">
        <v>193</v>
      </c>
      <c r="G27" t="s">
        <v>1101</v>
      </c>
      <c r="H27" t="s">
        <v>44</v>
      </c>
      <c r="I27" t="s">
        <v>44</v>
      </c>
      <c r="J27" t="s">
        <v>44</v>
      </c>
      <c r="K27" t="s">
        <v>1028</v>
      </c>
      <c r="L27" t="s">
        <v>1102</v>
      </c>
      <c r="M27" t="s">
        <v>1104</v>
      </c>
      <c r="N27" t="s">
        <v>191</v>
      </c>
      <c r="O27" t="s">
        <v>36</v>
      </c>
      <c r="P27" t="s">
        <v>37</v>
      </c>
      <c r="Q27" t="s">
        <v>1004</v>
      </c>
      <c r="R27" t="s">
        <v>188</v>
      </c>
    </row>
    <row r="28" spans="1:18" ht="20" customHeight="1">
      <c r="A28" t="s">
        <v>42</v>
      </c>
      <c r="B28" t="s">
        <v>57</v>
      </c>
      <c r="D28" t="s">
        <v>1031</v>
      </c>
      <c r="E28" t="s">
        <v>35</v>
      </c>
      <c r="F28" t="s">
        <v>828</v>
      </c>
      <c r="G28" t="s">
        <v>1105</v>
      </c>
      <c r="H28" t="s">
        <v>44</v>
      </c>
      <c r="I28" t="s">
        <v>1028</v>
      </c>
      <c r="J28" t="s">
        <v>1028</v>
      </c>
      <c r="K28" t="s">
        <v>1028</v>
      </c>
      <c r="L28" t="s">
        <v>1106</v>
      </c>
      <c r="M28" t="s">
        <v>1107</v>
      </c>
      <c r="N28" t="s">
        <v>825</v>
      </c>
      <c r="O28" t="s">
        <v>48</v>
      </c>
      <c r="P28" t="s">
        <v>49</v>
      </c>
      <c r="Q28" t="s">
        <v>1006</v>
      </c>
      <c r="R28" t="s">
        <v>826</v>
      </c>
    </row>
    <row r="29" spans="1:18" ht="20" customHeight="1">
      <c r="A29" t="s">
        <v>42</v>
      </c>
      <c r="B29" t="s">
        <v>127</v>
      </c>
      <c r="C29" t="s">
        <v>63</v>
      </c>
      <c r="D29" t="s">
        <v>1031</v>
      </c>
      <c r="E29" t="s">
        <v>35</v>
      </c>
      <c r="F29" t="s">
        <v>182</v>
      </c>
      <c r="G29" t="s">
        <v>1108</v>
      </c>
      <c r="H29" t="s">
        <v>44</v>
      </c>
      <c r="I29" t="s">
        <v>1028</v>
      </c>
      <c r="J29" t="s">
        <v>1028</v>
      </c>
      <c r="K29" t="s">
        <v>1028</v>
      </c>
      <c r="L29" t="s">
        <v>1109</v>
      </c>
      <c r="M29" t="s">
        <v>1110</v>
      </c>
      <c r="N29" t="s">
        <v>831</v>
      </c>
      <c r="O29" t="s">
        <v>48</v>
      </c>
      <c r="P29" t="s">
        <v>49</v>
      </c>
      <c r="Q29" t="s">
        <v>1005</v>
      </c>
      <c r="R29" t="s">
        <v>832</v>
      </c>
    </row>
    <row r="30" spans="1:18" ht="20" customHeight="1">
      <c r="A30" t="s">
        <v>42</v>
      </c>
      <c r="B30" t="s">
        <v>80</v>
      </c>
      <c r="C30" t="s">
        <v>35</v>
      </c>
      <c r="D30" t="s">
        <v>1031</v>
      </c>
      <c r="E30" t="s">
        <v>35</v>
      </c>
      <c r="F30" t="s">
        <v>588</v>
      </c>
      <c r="G30" t="s">
        <v>1111</v>
      </c>
      <c r="H30" t="s">
        <v>44</v>
      </c>
      <c r="I30" t="s">
        <v>1028</v>
      </c>
      <c r="J30" t="s">
        <v>1028</v>
      </c>
      <c r="K30" t="s">
        <v>1028</v>
      </c>
      <c r="L30" t="s">
        <v>1112</v>
      </c>
      <c r="M30" t="s">
        <v>1113</v>
      </c>
      <c r="N30" t="s">
        <v>586</v>
      </c>
      <c r="O30" t="s">
        <v>48</v>
      </c>
      <c r="P30" t="s">
        <v>49</v>
      </c>
      <c r="Q30" t="s">
        <v>1004</v>
      </c>
      <c r="R30" t="s">
        <v>554</v>
      </c>
    </row>
    <row r="31" spans="1:18" ht="20" customHeight="1">
      <c r="A31" t="s">
        <v>42</v>
      </c>
      <c r="B31" t="s">
        <v>101</v>
      </c>
      <c r="C31" t="s">
        <v>35</v>
      </c>
      <c r="D31" t="s">
        <v>1031</v>
      </c>
      <c r="E31" t="s">
        <v>35</v>
      </c>
      <c r="F31" t="s">
        <v>824</v>
      </c>
      <c r="G31" t="s">
        <v>1114</v>
      </c>
      <c r="H31" t="s">
        <v>44</v>
      </c>
      <c r="I31" t="s">
        <v>44</v>
      </c>
      <c r="J31" t="s">
        <v>44</v>
      </c>
      <c r="K31" t="s">
        <v>44</v>
      </c>
      <c r="L31" t="s">
        <v>1115</v>
      </c>
      <c r="M31" t="s">
        <v>1116</v>
      </c>
      <c r="N31" t="s">
        <v>834</v>
      </c>
      <c r="O31" t="s">
        <v>132</v>
      </c>
      <c r="P31" t="s">
        <v>68</v>
      </c>
      <c r="Q31" t="s">
        <v>1004</v>
      </c>
      <c r="R31" t="s">
        <v>835</v>
      </c>
    </row>
    <row r="32" spans="1:18" ht="20" customHeight="1">
      <c r="A32" t="s">
        <v>42</v>
      </c>
      <c r="B32" t="s">
        <v>127</v>
      </c>
      <c r="D32" t="s">
        <v>1031</v>
      </c>
      <c r="E32" t="s">
        <v>35</v>
      </c>
      <c r="F32" t="s">
        <v>575</v>
      </c>
      <c r="G32" t="s">
        <v>1117</v>
      </c>
      <c r="H32" t="s">
        <v>44</v>
      </c>
      <c r="I32" t="s">
        <v>1028</v>
      </c>
      <c r="J32" t="s">
        <v>1028</v>
      </c>
      <c r="K32" t="s">
        <v>1028</v>
      </c>
      <c r="L32" t="s">
        <v>1118</v>
      </c>
      <c r="M32" t="s">
        <v>1119</v>
      </c>
      <c r="N32" t="s">
        <v>589</v>
      </c>
      <c r="O32" t="s">
        <v>48</v>
      </c>
      <c r="P32" t="s">
        <v>49</v>
      </c>
      <c r="Q32" t="s">
        <v>1006</v>
      </c>
      <c r="R32" t="s">
        <v>467</v>
      </c>
    </row>
    <row r="33" spans="1:18" ht="20" customHeight="1">
      <c r="A33" t="s">
        <v>42</v>
      </c>
      <c r="B33" t="s">
        <v>195</v>
      </c>
      <c r="D33" t="s">
        <v>1031</v>
      </c>
      <c r="E33" t="s">
        <v>35</v>
      </c>
      <c r="F33" t="s">
        <v>198</v>
      </c>
      <c r="G33" t="s">
        <v>1120</v>
      </c>
      <c r="H33" t="s">
        <v>44</v>
      </c>
      <c r="I33" t="s">
        <v>1028</v>
      </c>
      <c r="J33" t="s">
        <v>1028</v>
      </c>
      <c r="K33" t="s">
        <v>1028</v>
      </c>
      <c r="L33" t="s">
        <v>1121</v>
      </c>
      <c r="M33" t="s">
        <v>1122</v>
      </c>
      <c r="N33" t="s">
        <v>194</v>
      </c>
      <c r="O33" t="s">
        <v>48</v>
      </c>
      <c r="P33" t="s">
        <v>49</v>
      </c>
      <c r="Q33" t="s">
        <v>1004</v>
      </c>
      <c r="R33" t="s">
        <v>196</v>
      </c>
    </row>
    <row r="34" spans="1:18" ht="20" customHeight="1">
      <c r="A34" t="s">
        <v>42</v>
      </c>
      <c r="B34" t="s">
        <v>127</v>
      </c>
      <c r="C34" t="s">
        <v>35</v>
      </c>
      <c r="D34" t="s">
        <v>1031</v>
      </c>
      <c r="E34" t="s">
        <v>35</v>
      </c>
      <c r="F34" t="s">
        <v>824</v>
      </c>
      <c r="G34" t="s">
        <v>1123</v>
      </c>
      <c r="H34" t="s">
        <v>44</v>
      </c>
      <c r="I34" t="s">
        <v>44</v>
      </c>
      <c r="J34" t="s">
        <v>44</v>
      </c>
      <c r="K34" t="s">
        <v>44</v>
      </c>
      <c r="L34" t="s">
        <v>1124</v>
      </c>
      <c r="M34" t="s">
        <v>1125</v>
      </c>
      <c r="N34" t="s">
        <v>837</v>
      </c>
      <c r="O34" t="s">
        <v>132</v>
      </c>
      <c r="P34" t="s">
        <v>68</v>
      </c>
      <c r="Q34" t="s">
        <v>1006</v>
      </c>
      <c r="R34" t="s">
        <v>640</v>
      </c>
    </row>
    <row r="35" spans="1:18" ht="20" customHeight="1">
      <c r="A35" t="s">
        <v>42</v>
      </c>
      <c r="B35" t="s">
        <v>101</v>
      </c>
      <c r="C35" t="s">
        <v>35</v>
      </c>
      <c r="D35" t="s">
        <v>1031</v>
      </c>
      <c r="E35" t="s">
        <v>35</v>
      </c>
      <c r="F35" t="s">
        <v>593</v>
      </c>
      <c r="G35" t="s">
        <v>1101</v>
      </c>
      <c r="H35" t="s">
        <v>44</v>
      </c>
      <c r="I35" t="s">
        <v>44</v>
      </c>
      <c r="J35" t="s">
        <v>44</v>
      </c>
      <c r="K35" t="s">
        <v>1028</v>
      </c>
      <c r="L35" t="s">
        <v>1102</v>
      </c>
      <c r="M35" t="s">
        <v>1126</v>
      </c>
      <c r="N35" t="s">
        <v>591</v>
      </c>
      <c r="O35" t="s">
        <v>36</v>
      </c>
      <c r="P35" t="s">
        <v>37</v>
      </c>
      <c r="Q35" t="s">
        <v>1004</v>
      </c>
      <c r="R35" t="s">
        <v>188</v>
      </c>
    </row>
    <row r="36" spans="1:18" ht="20" customHeight="1">
      <c r="A36" t="s">
        <v>42</v>
      </c>
      <c r="B36" t="s">
        <v>80</v>
      </c>
      <c r="C36" t="s">
        <v>35</v>
      </c>
      <c r="D36" t="s">
        <v>1031</v>
      </c>
      <c r="E36" t="s">
        <v>35</v>
      </c>
      <c r="F36" t="s">
        <v>841</v>
      </c>
      <c r="G36" t="s">
        <v>1127</v>
      </c>
      <c r="H36" t="s">
        <v>44</v>
      </c>
      <c r="I36" t="s">
        <v>44</v>
      </c>
      <c r="J36" t="s">
        <v>44</v>
      </c>
      <c r="K36" t="s">
        <v>44</v>
      </c>
      <c r="L36" t="s">
        <v>1128</v>
      </c>
      <c r="M36" t="s">
        <v>1129</v>
      </c>
      <c r="N36" t="s">
        <v>839</v>
      </c>
      <c r="O36" t="s">
        <v>132</v>
      </c>
      <c r="P36" t="s">
        <v>68</v>
      </c>
      <c r="Q36" t="s">
        <v>1004</v>
      </c>
      <c r="R36" t="s">
        <v>114</v>
      </c>
    </row>
    <row r="37" spans="1:18" ht="20" customHeight="1">
      <c r="A37" t="s">
        <v>42</v>
      </c>
      <c r="B37" t="s">
        <v>50</v>
      </c>
      <c r="C37" t="s">
        <v>35</v>
      </c>
      <c r="D37" t="s">
        <v>1031</v>
      </c>
      <c r="E37" t="s">
        <v>35</v>
      </c>
      <c r="F37" t="s">
        <v>936</v>
      </c>
      <c r="G37" t="s">
        <v>1130</v>
      </c>
      <c r="H37" t="s">
        <v>44</v>
      </c>
      <c r="I37" t="s">
        <v>1028</v>
      </c>
      <c r="J37" t="s">
        <v>1028</v>
      </c>
      <c r="K37" t="s">
        <v>1028</v>
      </c>
      <c r="L37" t="s">
        <v>1131</v>
      </c>
      <c r="M37" t="s">
        <v>1132</v>
      </c>
      <c r="N37" t="s">
        <v>933</v>
      </c>
      <c r="O37" t="s">
        <v>48</v>
      </c>
      <c r="P37" t="s">
        <v>49</v>
      </c>
      <c r="Q37" t="s">
        <v>1004</v>
      </c>
      <c r="R37" t="s">
        <v>934</v>
      </c>
    </row>
    <row r="38" spans="1:18" ht="20" customHeight="1">
      <c r="A38" t="s">
        <v>42</v>
      </c>
      <c r="B38" t="s">
        <v>299</v>
      </c>
      <c r="C38" t="s">
        <v>35</v>
      </c>
      <c r="D38" t="s">
        <v>1031</v>
      </c>
      <c r="E38" t="s">
        <v>35</v>
      </c>
      <c r="F38" t="s">
        <v>824</v>
      </c>
      <c r="G38" t="s">
        <v>1133</v>
      </c>
      <c r="H38" t="s">
        <v>44</v>
      </c>
      <c r="I38" t="s">
        <v>44</v>
      </c>
      <c r="J38" t="s">
        <v>44</v>
      </c>
      <c r="K38" t="s">
        <v>44</v>
      </c>
      <c r="L38" t="s">
        <v>1134</v>
      </c>
      <c r="M38" t="s">
        <v>1135</v>
      </c>
      <c r="N38" t="s">
        <v>842</v>
      </c>
      <c r="O38" t="s">
        <v>132</v>
      </c>
      <c r="P38" t="s">
        <v>68</v>
      </c>
      <c r="Q38" t="s">
        <v>1004</v>
      </c>
      <c r="R38" t="s">
        <v>843</v>
      </c>
    </row>
    <row r="39" spans="1:18" ht="20" customHeight="1">
      <c r="A39" t="s">
        <v>42</v>
      </c>
      <c r="B39" t="s">
        <v>80</v>
      </c>
      <c r="C39" t="s">
        <v>35</v>
      </c>
      <c r="D39" t="s">
        <v>1031</v>
      </c>
      <c r="E39" t="s">
        <v>35</v>
      </c>
      <c r="F39" t="s">
        <v>824</v>
      </c>
      <c r="G39" t="s">
        <v>1136</v>
      </c>
      <c r="H39" t="s">
        <v>44</v>
      </c>
      <c r="I39" t="s">
        <v>44</v>
      </c>
      <c r="J39" t="s">
        <v>44</v>
      </c>
      <c r="K39" t="s">
        <v>44</v>
      </c>
      <c r="L39" t="s">
        <v>1137</v>
      </c>
      <c r="M39" t="s">
        <v>1138</v>
      </c>
      <c r="N39" t="s">
        <v>845</v>
      </c>
      <c r="O39" t="s">
        <v>132</v>
      </c>
      <c r="P39" t="s">
        <v>68</v>
      </c>
      <c r="Q39" t="s">
        <v>1004</v>
      </c>
      <c r="R39" t="s">
        <v>846</v>
      </c>
    </row>
    <row r="40" spans="1:18" ht="20" customHeight="1">
      <c r="A40" t="s">
        <v>42</v>
      </c>
      <c r="B40" t="s">
        <v>80</v>
      </c>
      <c r="D40" t="s">
        <v>1031</v>
      </c>
      <c r="E40" t="s">
        <v>35</v>
      </c>
      <c r="F40" t="s">
        <v>297</v>
      </c>
      <c r="G40" t="s">
        <v>1139</v>
      </c>
      <c r="H40" t="s">
        <v>44</v>
      </c>
      <c r="I40" t="s">
        <v>44</v>
      </c>
      <c r="J40" t="s">
        <v>44</v>
      </c>
      <c r="K40" t="s">
        <v>44</v>
      </c>
      <c r="L40" t="s">
        <v>1140</v>
      </c>
      <c r="M40" t="s">
        <v>1141</v>
      </c>
      <c r="N40" t="s">
        <v>848</v>
      </c>
      <c r="O40" t="s">
        <v>132</v>
      </c>
      <c r="P40" t="s">
        <v>68</v>
      </c>
      <c r="Q40" t="s">
        <v>1004</v>
      </c>
      <c r="R40" t="s">
        <v>494</v>
      </c>
    </row>
    <row r="41" spans="1:18" ht="20" customHeight="1">
      <c r="A41" t="s">
        <v>42</v>
      </c>
      <c r="B41" t="s">
        <v>57</v>
      </c>
      <c r="C41" t="s">
        <v>35</v>
      </c>
      <c r="D41" t="s">
        <v>1031</v>
      </c>
      <c r="E41" t="s">
        <v>35</v>
      </c>
      <c r="F41" t="s">
        <v>596</v>
      </c>
      <c r="G41" t="s">
        <v>1142</v>
      </c>
      <c r="H41" t="s">
        <v>44</v>
      </c>
      <c r="I41" t="s">
        <v>1028</v>
      </c>
      <c r="J41" t="s">
        <v>1028</v>
      </c>
      <c r="K41" t="s">
        <v>1028</v>
      </c>
      <c r="L41" t="s">
        <v>1143</v>
      </c>
      <c r="M41" t="s">
        <v>1144</v>
      </c>
      <c r="N41" t="s">
        <v>594</v>
      </c>
      <c r="O41" t="s">
        <v>48</v>
      </c>
      <c r="P41" t="s">
        <v>49</v>
      </c>
      <c r="Q41" t="s">
        <v>1004</v>
      </c>
      <c r="R41" t="s">
        <v>343</v>
      </c>
    </row>
    <row r="42" spans="1:18" ht="20" customHeight="1">
      <c r="A42" t="s">
        <v>42</v>
      </c>
      <c r="B42" t="s">
        <v>80</v>
      </c>
      <c r="D42" t="s">
        <v>1031</v>
      </c>
      <c r="E42" t="s">
        <v>35</v>
      </c>
      <c r="F42" t="s">
        <v>600</v>
      </c>
      <c r="G42" t="s">
        <v>1145</v>
      </c>
      <c r="H42" t="s">
        <v>44</v>
      </c>
      <c r="I42" t="s">
        <v>1028</v>
      </c>
      <c r="J42" t="s">
        <v>1028</v>
      </c>
      <c r="K42" t="s">
        <v>1028</v>
      </c>
      <c r="L42" t="s">
        <v>1146</v>
      </c>
      <c r="M42" t="s">
        <v>1147</v>
      </c>
      <c r="N42" t="s">
        <v>597</v>
      </c>
      <c r="O42" t="s">
        <v>48</v>
      </c>
      <c r="P42" t="s">
        <v>49</v>
      </c>
      <c r="Q42" t="s">
        <v>1005</v>
      </c>
      <c r="R42" t="s">
        <v>598</v>
      </c>
    </row>
    <row r="43" spans="1:18" ht="20" customHeight="1">
      <c r="A43" t="s">
        <v>42</v>
      </c>
      <c r="B43" t="s">
        <v>50</v>
      </c>
      <c r="C43" t="s">
        <v>35</v>
      </c>
      <c r="D43" t="s">
        <v>1031</v>
      </c>
      <c r="E43" t="s">
        <v>35</v>
      </c>
      <c r="F43" t="s">
        <v>604</v>
      </c>
      <c r="G43" t="s">
        <v>1148</v>
      </c>
      <c r="H43" t="s">
        <v>44</v>
      </c>
      <c r="I43" t="s">
        <v>1028</v>
      </c>
      <c r="J43" t="s">
        <v>1028</v>
      </c>
      <c r="K43" t="s">
        <v>1028</v>
      </c>
      <c r="L43" t="s">
        <v>1149</v>
      </c>
      <c r="M43" t="s">
        <v>1150</v>
      </c>
      <c r="N43" t="s">
        <v>601</v>
      </c>
      <c r="O43" t="s">
        <v>48</v>
      </c>
      <c r="P43" t="s">
        <v>49</v>
      </c>
      <c r="Q43" t="s">
        <v>1006</v>
      </c>
      <c r="R43" t="s">
        <v>602</v>
      </c>
    </row>
    <row r="44" spans="1:18" ht="20" customHeight="1">
      <c r="A44" t="s">
        <v>42</v>
      </c>
      <c r="B44" t="s">
        <v>50</v>
      </c>
      <c r="D44" t="s">
        <v>1031</v>
      </c>
      <c r="E44" t="s">
        <v>35</v>
      </c>
      <c r="F44" t="s">
        <v>617</v>
      </c>
      <c r="G44" t="s">
        <v>1151</v>
      </c>
      <c r="H44" t="s">
        <v>44</v>
      </c>
      <c r="I44" t="s">
        <v>1028</v>
      </c>
      <c r="J44" t="s">
        <v>1028</v>
      </c>
      <c r="K44" t="s">
        <v>1028</v>
      </c>
      <c r="L44" t="s">
        <v>1152</v>
      </c>
      <c r="M44" t="s">
        <v>1153</v>
      </c>
      <c r="N44" t="s">
        <v>937</v>
      </c>
      <c r="O44" t="s">
        <v>48</v>
      </c>
      <c r="P44" t="s">
        <v>49</v>
      </c>
      <c r="Q44" t="s">
        <v>1004</v>
      </c>
      <c r="R44" t="s">
        <v>307</v>
      </c>
    </row>
    <row r="45" spans="1:18" ht="20" customHeight="1">
      <c r="A45" t="s">
        <v>42</v>
      </c>
      <c r="B45" t="s">
        <v>80</v>
      </c>
      <c r="C45" t="s">
        <v>35</v>
      </c>
      <c r="D45" t="s">
        <v>1031</v>
      </c>
      <c r="E45" t="s">
        <v>35</v>
      </c>
      <c r="F45" t="s">
        <v>610</v>
      </c>
      <c r="G45" t="s">
        <v>1154</v>
      </c>
      <c r="H45" t="s">
        <v>44</v>
      </c>
      <c r="I45" t="s">
        <v>1028</v>
      </c>
      <c r="J45" t="s">
        <v>1028</v>
      </c>
      <c r="K45" t="s">
        <v>1028</v>
      </c>
      <c r="L45" t="s">
        <v>1155</v>
      </c>
      <c r="M45" t="s">
        <v>1156</v>
      </c>
      <c r="N45" t="s">
        <v>607</v>
      </c>
      <c r="O45" t="s">
        <v>48</v>
      </c>
      <c r="P45" t="s">
        <v>69</v>
      </c>
      <c r="Q45" t="s">
        <v>1004</v>
      </c>
      <c r="R45" t="s">
        <v>608</v>
      </c>
    </row>
    <row r="46" spans="1:18" ht="20" customHeight="1">
      <c r="A46" t="s">
        <v>42</v>
      </c>
      <c r="B46" t="s">
        <v>50</v>
      </c>
      <c r="C46" t="s">
        <v>35</v>
      </c>
      <c r="D46" t="s">
        <v>1031</v>
      </c>
      <c r="E46" t="s">
        <v>35</v>
      </c>
      <c r="F46" t="s">
        <v>614</v>
      </c>
      <c r="G46" t="s">
        <v>1157</v>
      </c>
      <c r="H46" t="s">
        <v>44</v>
      </c>
      <c r="I46" t="s">
        <v>44</v>
      </c>
      <c r="J46" t="s">
        <v>44</v>
      </c>
      <c r="K46" t="s">
        <v>1028</v>
      </c>
      <c r="L46" t="s">
        <v>1158</v>
      </c>
      <c r="M46" t="s">
        <v>1159</v>
      </c>
      <c r="N46" t="s">
        <v>611</v>
      </c>
      <c r="O46" t="s">
        <v>36</v>
      </c>
      <c r="P46" t="s">
        <v>37</v>
      </c>
      <c r="Q46" t="s">
        <v>1004</v>
      </c>
      <c r="R46" t="s">
        <v>612</v>
      </c>
    </row>
    <row r="47" spans="1:18" ht="20" customHeight="1">
      <c r="A47" t="s">
        <v>42</v>
      </c>
      <c r="B47" t="s">
        <v>289</v>
      </c>
      <c r="D47" t="s">
        <v>1031</v>
      </c>
      <c r="E47" t="s">
        <v>35</v>
      </c>
      <c r="F47" t="s">
        <v>292</v>
      </c>
      <c r="G47" t="s">
        <v>1160</v>
      </c>
      <c r="H47" t="s">
        <v>44</v>
      </c>
      <c r="I47" t="s">
        <v>44</v>
      </c>
      <c r="J47" t="s">
        <v>44</v>
      </c>
      <c r="K47" t="s">
        <v>44</v>
      </c>
      <c r="L47" t="s">
        <v>1161</v>
      </c>
      <c r="M47" t="s">
        <v>1162</v>
      </c>
      <c r="N47" t="s">
        <v>288</v>
      </c>
      <c r="O47" t="s">
        <v>132</v>
      </c>
      <c r="P47" t="s">
        <v>68</v>
      </c>
      <c r="Q47" t="s">
        <v>1004</v>
      </c>
      <c r="R47" t="s">
        <v>290</v>
      </c>
    </row>
    <row r="48" spans="1:18" ht="20" customHeight="1">
      <c r="A48" t="s">
        <v>42</v>
      </c>
      <c r="B48" t="s">
        <v>80</v>
      </c>
      <c r="C48" t="s">
        <v>35</v>
      </c>
      <c r="D48" t="s">
        <v>1031</v>
      </c>
      <c r="E48" t="s">
        <v>35</v>
      </c>
      <c r="F48" t="s">
        <v>841</v>
      </c>
      <c r="G48" t="s">
        <v>1163</v>
      </c>
      <c r="H48" t="s">
        <v>44</v>
      </c>
      <c r="I48" t="s">
        <v>44</v>
      </c>
      <c r="J48" t="s">
        <v>44</v>
      </c>
      <c r="K48" t="s">
        <v>44</v>
      </c>
      <c r="L48" t="s">
        <v>1164</v>
      </c>
      <c r="M48" t="s">
        <v>1165</v>
      </c>
      <c r="N48" t="s">
        <v>850</v>
      </c>
      <c r="O48" t="s">
        <v>132</v>
      </c>
      <c r="P48" t="s">
        <v>68</v>
      </c>
      <c r="Q48" t="s">
        <v>1004</v>
      </c>
      <c r="R48" t="s">
        <v>266</v>
      </c>
    </row>
    <row r="49" spans="1:18" ht="20" customHeight="1">
      <c r="A49" t="s">
        <v>42</v>
      </c>
      <c r="B49" t="s">
        <v>541</v>
      </c>
      <c r="D49" t="s">
        <v>1031</v>
      </c>
      <c r="E49" t="s">
        <v>35</v>
      </c>
      <c r="F49" t="s">
        <v>942</v>
      </c>
      <c r="G49" t="s">
        <v>1166</v>
      </c>
      <c r="H49" t="s">
        <v>44</v>
      </c>
      <c r="I49" t="s">
        <v>44</v>
      </c>
      <c r="J49" t="s">
        <v>44</v>
      </c>
      <c r="K49" t="s">
        <v>1028</v>
      </c>
      <c r="L49" t="s">
        <v>1167</v>
      </c>
      <c r="M49" t="s">
        <v>1168</v>
      </c>
      <c r="N49" t="s">
        <v>939</v>
      </c>
      <c r="O49" t="s">
        <v>36</v>
      </c>
      <c r="P49" t="s">
        <v>37</v>
      </c>
      <c r="Q49" t="s">
        <v>1006</v>
      </c>
      <c r="R49" t="s">
        <v>940</v>
      </c>
    </row>
    <row r="50" spans="1:18" ht="20" customHeight="1">
      <c r="A50" t="s">
        <v>42</v>
      </c>
      <c r="B50" t="s">
        <v>80</v>
      </c>
      <c r="D50" t="s">
        <v>1031</v>
      </c>
      <c r="E50" t="s">
        <v>35</v>
      </c>
      <c r="F50" t="s">
        <v>854</v>
      </c>
      <c r="G50" t="s">
        <v>1169</v>
      </c>
      <c r="H50" t="s">
        <v>44</v>
      </c>
      <c r="I50" t="s">
        <v>44</v>
      </c>
      <c r="J50" t="s">
        <v>44</v>
      </c>
      <c r="K50" t="s">
        <v>44</v>
      </c>
      <c r="L50" t="s">
        <v>1170</v>
      </c>
      <c r="M50" t="s">
        <v>1171</v>
      </c>
      <c r="N50" t="s">
        <v>852</v>
      </c>
      <c r="O50" t="s">
        <v>132</v>
      </c>
      <c r="P50" t="s">
        <v>68</v>
      </c>
      <c r="Q50" t="s">
        <v>1004</v>
      </c>
      <c r="R50" t="s">
        <v>461</v>
      </c>
    </row>
    <row r="51" spans="1:18" ht="20" customHeight="1">
      <c r="A51" t="s">
        <v>42</v>
      </c>
      <c r="B51" t="s">
        <v>57</v>
      </c>
      <c r="D51" t="s">
        <v>1031</v>
      </c>
      <c r="E51" t="s">
        <v>35</v>
      </c>
      <c r="F51" t="s">
        <v>302</v>
      </c>
      <c r="G51" t="s">
        <v>1172</v>
      </c>
      <c r="H51" t="s">
        <v>44</v>
      </c>
      <c r="I51" t="s">
        <v>44</v>
      </c>
      <c r="J51" t="s">
        <v>44</v>
      </c>
      <c r="K51" t="s">
        <v>44</v>
      </c>
      <c r="L51" t="s">
        <v>1173</v>
      </c>
      <c r="M51" t="s">
        <v>1174</v>
      </c>
      <c r="N51" t="s">
        <v>855</v>
      </c>
      <c r="O51" t="s">
        <v>132</v>
      </c>
      <c r="P51" t="s">
        <v>68</v>
      </c>
      <c r="Q51" t="s">
        <v>1005</v>
      </c>
      <c r="R51" t="s">
        <v>856</v>
      </c>
    </row>
    <row r="52" spans="1:18" ht="20" customHeight="1">
      <c r="A52" t="s">
        <v>42</v>
      </c>
      <c r="B52" t="s">
        <v>294</v>
      </c>
      <c r="D52" t="s">
        <v>1031</v>
      </c>
      <c r="E52" t="s">
        <v>35</v>
      </c>
      <c r="F52" t="s">
        <v>297</v>
      </c>
      <c r="G52" t="s">
        <v>1175</v>
      </c>
      <c r="H52" t="s">
        <v>44</v>
      </c>
      <c r="I52" t="s">
        <v>44</v>
      </c>
      <c r="J52" t="s">
        <v>44</v>
      </c>
      <c r="K52" t="s">
        <v>44</v>
      </c>
      <c r="L52" t="s">
        <v>1176</v>
      </c>
      <c r="M52" t="s">
        <v>1177</v>
      </c>
      <c r="N52" t="s">
        <v>293</v>
      </c>
      <c r="O52" t="s">
        <v>132</v>
      </c>
      <c r="P52" t="s">
        <v>68</v>
      </c>
      <c r="Q52" t="s">
        <v>1004</v>
      </c>
      <c r="R52" t="s">
        <v>295</v>
      </c>
    </row>
    <row r="53" spans="1:18" ht="20" customHeight="1">
      <c r="A53" t="s">
        <v>42</v>
      </c>
      <c r="B53" t="s">
        <v>299</v>
      </c>
      <c r="D53" t="s">
        <v>1031</v>
      </c>
      <c r="E53" t="s">
        <v>35</v>
      </c>
      <c r="F53" t="s">
        <v>302</v>
      </c>
      <c r="G53" t="s">
        <v>1178</v>
      </c>
      <c r="H53" t="s">
        <v>44</v>
      </c>
      <c r="I53" t="s">
        <v>44</v>
      </c>
      <c r="J53" t="s">
        <v>44</v>
      </c>
      <c r="K53" t="s">
        <v>44</v>
      </c>
      <c r="L53" t="s">
        <v>1179</v>
      </c>
      <c r="M53" t="s">
        <v>1180</v>
      </c>
      <c r="N53" t="s">
        <v>298</v>
      </c>
      <c r="O53" t="s">
        <v>132</v>
      </c>
      <c r="P53" t="s">
        <v>68</v>
      </c>
      <c r="Q53" t="s">
        <v>1004</v>
      </c>
      <c r="R53" t="s">
        <v>300</v>
      </c>
    </row>
    <row r="54" spans="1:18" ht="20" customHeight="1">
      <c r="A54" t="s">
        <v>42</v>
      </c>
      <c r="B54" t="s">
        <v>38</v>
      </c>
      <c r="D54" t="s">
        <v>1031</v>
      </c>
      <c r="E54" t="s">
        <v>35</v>
      </c>
      <c r="F54" t="s">
        <v>617</v>
      </c>
      <c r="G54" t="s">
        <v>1181</v>
      </c>
      <c r="H54" t="s">
        <v>44</v>
      </c>
      <c r="I54" t="s">
        <v>1028</v>
      </c>
      <c r="J54" t="s">
        <v>1028</v>
      </c>
      <c r="K54" t="s">
        <v>1028</v>
      </c>
      <c r="L54" t="s">
        <v>1182</v>
      </c>
      <c r="M54" t="s">
        <v>1183</v>
      </c>
      <c r="N54" t="s">
        <v>615</v>
      </c>
      <c r="O54" t="s">
        <v>48</v>
      </c>
      <c r="P54" t="s">
        <v>49</v>
      </c>
      <c r="Q54" t="s">
        <v>1005</v>
      </c>
      <c r="R54" t="s">
        <v>329</v>
      </c>
    </row>
    <row r="55" spans="1:18" ht="20" customHeight="1">
      <c r="A55" t="s">
        <v>42</v>
      </c>
      <c r="B55" t="s">
        <v>294</v>
      </c>
      <c r="D55" t="s">
        <v>1031</v>
      </c>
      <c r="E55" t="s">
        <v>35</v>
      </c>
      <c r="F55" t="s">
        <v>617</v>
      </c>
      <c r="G55" t="s">
        <v>1184</v>
      </c>
      <c r="H55" t="s">
        <v>44</v>
      </c>
      <c r="I55" t="s">
        <v>1028</v>
      </c>
      <c r="J55" t="s">
        <v>1028</v>
      </c>
      <c r="K55" t="s">
        <v>1028</v>
      </c>
      <c r="L55" t="s">
        <v>1185</v>
      </c>
      <c r="M55" t="s">
        <v>1186</v>
      </c>
      <c r="N55" t="s">
        <v>618</v>
      </c>
      <c r="O55" t="s">
        <v>48</v>
      </c>
      <c r="P55" t="s">
        <v>49</v>
      </c>
      <c r="Q55" t="s">
        <v>1004</v>
      </c>
      <c r="R55" t="s">
        <v>295</v>
      </c>
    </row>
    <row r="56" spans="1:18" ht="20" customHeight="1">
      <c r="A56" t="s">
        <v>42</v>
      </c>
      <c r="B56" t="s">
        <v>50</v>
      </c>
      <c r="C56" t="s">
        <v>63</v>
      </c>
      <c r="D56" t="s">
        <v>1031</v>
      </c>
      <c r="E56" t="s">
        <v>35</v>
      </c>
      <c r="F56" t="s">
        <v>581</v>
      </c>
      <c r="G56" t="s">
        <v>1157</v>
      </c>
      <c r="H56" t="s">
        <v>44</v>
      </c>
      <c r="I56" t="s">
        <v>1028</v>
      </c>
      <c r="J56" t="s">
        <v>1028</v>
      </c>
      <c r="K56" t="s">
        <v>1028</v>
      </c>
      <c r="L56" t="s">
        <v>1158</v>
      </c>
      <c r="M56" t="s">
        <v>1187</v>
      </c>
      <c r="N56" t="s">
        <v>620</v>
      </c>
      <c r="O56" t="s">
        <v>48</v>
      </c>
      <c r="P56" t="s">
        <v>49</v>
      </c>
      <c r="Q56" t="s">
        <v>1004</v>
      </c>
      <c r="R56" t="s">
        <v>612</v>
      </c>
    </row>
    <row r="57" spans="1:18" ht="20" customHeight="1">
      <c r="A57" t="s">
        <v>42</v>
      </c>
      <c r="B57" t="s">
        <v>50</v>
      </c>
      <c r="D57" t="s">
        <v>1031</v>
      </c>
      <c r="E57" t="s">
        <v>35</v>
      </c>
      <c r="F57" t="s">
        <v>53</v>
      </c>
      <c r="G57" t="s">
        <v>1188</v>
      </c>
      <c r="H57" t="s">
        <v>44</v>
      </c>
      <c r="I57" t="s">
        <v>1028</v>
      </c>
      <c r="J57" t="s">
        <v>1028</v>
      </c>
      <c r="K57" t="s">
        <v>1028</v>
      </c>
      <c r="L57" t="s">
        <v>1189</v>
      </c>
      <c r="M57" t="s">
        <v>1190</v>
      </c>
      <c r="N57" t="s">
        <v>46</v>
      </c>
      <c r="O57" t="s">
        <v>48</v>
      </c>
      <c r="P57" t="s">
        <v>49</v>
      </c>
      <c r="Q57" t="s">
        <v>1004</v>
      </c>
      <c r="R57" t="s">
        <v>51</v>
      </c>
    </row>
    <row r="58" spans="1:18" ht="20" customHeight="1">
      <c r="A58" t="s">
        <v>42</v>
      </c>
      <c r="B58" t="s">
        <v>80</v>
      </c>
      <c r="C58" t="s">
        <v>35</v>
      </c>
      <c r="D58" t="s">
        <v>1031</v>
      </c>
      <c r="E58" t="s">
        <v>35</v>
      </c>
      <c r="F58" t="s">
        <v>297</v>
      </c>
      <c r="G58" t="s">
        <v>1191</v>
      </c>
      <c r="H58" t="s">
        <v>44</v>
      </c>
      <c r="I58" t="s">
        <v>44</v>
      </c>
      <c r="J58" t="s">
        <v>44</v>
      </c>
      <c r="K58" t="s">
        <v>44</v>
      </c>
      <c r="L58" t="s">
        <v>1192</v>
      </c>
      <c r="M58" t="s">
        <v>1193</v>
      </c>
      <c r="N58" t="s">
        <v>303</v>
      </c>
      <c r="O58" t="s">
        <v>132</v>
      </c>
      <c r="P58" t="s">
        <v>68</v>
      </c>
      <c r="Q58" t="s">
        <v>1004</v>
      </c>
      <c r="R58" t="s">
        <v>304</v>
      </c>
    </row>
    <row r="59" spans="1:18" ht="20" customHeight="1">
      <c r="A59" t="s">
        <v>42</v>
      </c>
      <c r="B59" t="s">
        <v>57</v>
      </c>
      <c r="C59" t="s">
        <v>35</v>
      </c>
      <c r="D59" t="s">
        <v>1031</v>
      </c>
      <c r="E59" t="s">
        <v>35</v>
      </c>
      <c r="F59" t="s">
        <v>297</v>
      </c>
      <c r="G59" t="s">
        <v>1194</v>
      </c>
      <c r="H59" t="s">
        <v>44</v>
      </c>
      <c r="I59" t="s">
        <v>44</v>
      </c>
      <c r="J59" t="s">
        <v>44</v>
      </c>
      <c r="K59" t="s">
        <v>44</v>
      </c>
      <c r="L59" t="s">
        <v>1195</v>
      </c>
      <c r="M59" t="s">
        <v>1196</v>
      </c>
      <c r="N59" t="s">
        <v>858</v>
      </c>
      <c r="O59" t="s">
        <v>132</v>
      </c>
      <c r="P59" t="s">
        <v>68</v>
      </c>
      <c r="Q59" t="s">
        <v>1004</v>
      </c>
      <c r="R59" t="s">
        <v>58</v>
      </c>
    </row>
    <row r="60" spans="1:18" ht="20" customHeight="1">
      <c r="A60" t="s">
        <v>42</v>
      </c>
      <c r="B60" t="s">
        <v>50</v>
      </c>
      <c r="C60" t="s">
        <v>35</v>
      </c>
      <c r="D60" t="s">
        <v>1031</v>
      </c>
      <c r="E60" t="s">
        <v>35</v>
      </c>
      <c r="F60" t="s">
        <v>322</v>
      </c>
      <c r="G60" t="s">
        <v>1197</v>
      </c>
      <c r="H60" t="s">
        <v>44</v>
      </c>
      <c r="I60" t="s">
        <v>44</v>
      </c>
      <c r="J60" t="s">
        <v>44</v>
      </c>
      <c r="K60" t="s">
        <v>44</v>
      </c>
      <c r="L60" t="s">
        <v>1198</v>
      </c>
      <c r="M60" t="s">
        <v>1199</v>
      </c>
      <c r="N60" t="s">
        <v>860</v>
      </c>
      <c r="O60" t="s">
        <v>132</v>
      </c>
      <c r="P60" t="s">
        <v>68</v>
      </c>
      <c r="Q60" t="s">
        <v>1004</v>
      </c>
      <c r="R60" t="s">
        <v>307</v>
      </c>
    </row>
    <row r="61" spans="1:18" ht="20" customHeight="1">
      <c r="A61" t="s">
        <v>42</v>
      </c>
      <c r="B61" t="s">
        <v>127</v>
      </c>
      <c r="C61" t="s">
        <v>175</v>
      </c>
      <c r="D61" t="s">
        <v>1031</v>
      </c>
      <c r="E61" t="s">
        <v>35</v>
      </c>
      <c r="F61" t="s">
        <v>625</v>
      </c>
      <c r="G61" t="s">
        <v>1200</v>
      </c>
      <c r="H61" t="s">
        <v>44</v>
      </c>
      <c r="I61" t="s">
        <v>1028</v>
      </c>
      <c r="J61" t="s">
        <v>1028</v>
      </c>
      <c r="K61" t="s">
        <v>1028</v>
      </c>
      <c r="L61" t="s">
        <v>1201</v>
      </c>
      <c r="M61" t="s">
        <v>1202</v>
      </c>
      <c r="N61" t="s">
        <v>622</v>
      </c>
      <c r="O61" t="s">
        <v>48</v>
      </c>
      <c r="P61" t="s">
        <v>49</v>
      </c>
      <c r="Q61" t="s">
        <v>1006</v>
      </c>
      <c r="R61" t="s">
        <v>623</v>
      </c>
    </row>
    <row r="62" spans="1:18" ht="20" customHeight="1">
      <c r="A62" t="s">
        <v>42</v>
      </c>
      <c r="B62" t="s">
        <v>234</v>
      </c>
      <c r="D62" t="s">
        <v>1031</v>
      </c>
      <c r="E62" t="s">
        <v>35</v>
      </c>
      <c r="F62" t="s">
        <v>628</v>
      </c>
      <c r="G62" t="s">
        <v>1203</v>
      </c>
      <c r="H62" t="s">
        <v>44</v>
      </c>
      <c r="I62" t="s">
        <v>44</v>
      </c>
      <c r="J62" t="s">
        <v>44</v>
      </c>
      <c r="K62" t="s">
        <v>1028</v>
      </c>
      <c r="L62" t="s">
        <v>1204</v>
      </c>
      <c r="M62" t="s">
        <v>1205</v>
      </c>
      <c r="N62" t="s">
        <v>626</v>
      </c>
      <c r="O62" t="s">
        <v>36</v>
      </c>
      <c r="P62" t="s">
        <v>37</v>
      </c>
      <c r="Q62" t="s">
        <v>1004</v>
      </c>
      <c r="R62" t="s">
        <v>479</v>
      </c>
    </row>
    <row r="63" spans="1:18" ht="20" customHeight="1">
      <c r="A63" t="s">
        <v>42</v>
      </c>
      <c r="B63" t="s">
        <v>155</v>
      </c>
      <c r="C63" t="s">
        <v>35</v>
      </c>
      <c r="D63" t="s">
        <v>1031</v>
      </c>
      <c r="E63" t="s">
        <v>35</v>
      </c>
      <c r="F63" t="s">
        <v>208</v>
      </c>
      <c r="G63" t="s">
        <v>1206</v>
      </c>
      <c r="H63" t="s">
        <v>44</v>
      </c>
      <c r="I63" t="s">
        <v>1028</v>
      </c>
      <c r="J63" t="s">
        <v>1028</v>
      </c>
      <c r="K63" t="s">
        <v>1028</v>
      </c>
      <c r="L63" t="s">
        <v>1207</v>
      </c>
      <c r="M63" t="s">
        <v>1208</v>
      </c>
      <c r="N63" t="s">
        <v>205</v>
      </c>
      <c r="O63" t="s">
        <v>48</v>
      </c>
      <c r="P63" t="s">
        <v>49</v>
      </c>
      <c r="Q63" t="s">
        <v>1005</v>
      </c>
      <c r="R63" t="s">
        <v>206</v>
      </c>
    </row>
    <row r="64" spans="1:18" ht="20" customHeight="1">
      <c r="A64" t="s">
        <v>42</v>
      </c>
      <c r="B64" t="s">
        <v>80</v>
      </c>
      <c r="C64" t="s">
        <v>35</v>
      </c>
      <c r="D64" t="s">
        <v>1031</v>
      </c>
      <c r="E64" t="s">
        <v>35</v>
      </c>
      <c r="F64" t="s">
        <v>322</v>
      </c>
      <c r="G64" t="s">
        <v>1209</v>
      </c>
      <c r="H64" t="s">
        <v>44</v>
      </c>
      <c r="I64" t="s">
        <v>44</v>
      </c>
      <c r="J64" t="s">
        <v>44</v>
      </c>
      <c r="K64" t="s">
        <v>44</v>
      </c>
      <c r="L64" t="s">
        <v>1210</v>
      </c>
      <c r="M64" t="s">
        <v>1211</v>
      </c>
      <c r="N64" t="s">
        <v>862</v>
      </c>
      <c r="O64" t="s">
        <v>132</v>
      </c>
      <c r="P64" t="s">
        <v>68</v>
      </c>
      <c r="Q64" t="s">
        <v>1004</v>
      </c>
      <c r="R64" t="s">
        <v>249</v>
      </c>
    </row>
    <row r="65" spans="1:18" ht="20" customHeight="1">
      <c r="A65" t="s">
        <v>42</v>
      </c>
      <c r="B65" t="s">
        <v>289</v>
      </c>
      <c r="D65" t="s">
        <v>1031</v>
      </c>
      <c r="E65" t="s">
        <v>35</v>
      </c>
      <c r="F65" t="s">
        <v>632</v>
      </c>
      <c r="G65" t="s">
        <v>1212</v>
      </c>
      <c r="H65" t="s">
        <v>44</v>
      </c>
      <c r="I65" t="s">
        <v>1028</v>
      </c>
      <c r="J65" t="s">
        <v>1028</v>
      </c>
      <c r="K65" t="s">
        <v>1028</v>
      </c>
      <c r="L65" t="s">
        <v>1213</v>
      </c>
      <c r="M65" t="s">
        <v>1214</v>
      </c>
      <c r="N65" t="s">
        <v>629</v>
      </c>
      <c r="O65" t="s">
        <v>48</v>
      </c>
      <c r="P65" t="s">
        <v>49</v>
      </c>
      <c r="Q65" t="s">
        <v>1004</v>
      </c>
      <c r="R65" t="s">
        <v>630</v>
      </c>
    </row>
    <row r="66" spans="1:18" ht="20" customHeight="1">
      <c r="A66" t="s">
        <v>42</v>
      </c>
      <c r="B66" t="s">
        <v>101</v>
      </c>
      <c r="D66" t="s">
        <v>1031</v>
      </c>
      <c r="E66" t="s">
        <v>35</v>
      </c>
      <c r="F66" t="s">
        <v>212</v>
      </c>
      <c r="G66" t="s">
        <v>1215</v>
      </c>
      <c r="H66" t="s">
        <v>44</v>
      </c>
      <c r="I66" t="s">
        <v>44</v>
      </c>
      <c r="J66" t="s">
        <v>44</v>
      </c>
      <c r="K66" t="s">
        <v>1028</v>
      </c>
      <c r="L66" t="s">
        <v>1216</v>
      </c>
      <c r="M66" t="s">
        <v>1217</v>
      </c>
      <c r="N66" t="s">
        <v>209</v>
      </c>
      <c r="O66" t="s">
        <v>36</v>
      </c>
      <c r="P66" t="s">
        <v>37</v>
      </c>
      <c r="Q66" t="s">
        <v>1218</v>
      </c>
      <c r="R66" t="s">
        <v>210</v>
      </c>
    </row>
    <row r="67" spans="1:18" ht="20" customHeight="1">
      <c r="A67" t="s">
        <v>42</v>
      </c>
      <c r="B67" t="s">
        <v>101</v>
      </c>
      <c r="D67" t="s">
        <v>1031</v>
      </c>
      <c r="E67" t="s">
        <v>35</v>
      </c>
      <c r="F67" t="s">
        <v>215</v>
      </c>
      <c r="G67" t="s">
        <v>1215</v>
      </c>
      <c r="H67" t="s">
        <v>44</v>
      </c>
      <c r="I67" t="s">
        <v>1028</v>
      </c>
      <c r="J67" t="s">
        <v>1028</v>
      </c>
      <c r="K67" t="s">
        <v>1028</v>
      </c>
      <c r="L67" t="s">
        <v>1216</v>
      </c>
      <c r="M67" t="s">
        <v>1219</v>
      </c>
      <c r="N67" t="s">
        <v>213</v>
      </c>
      <c r="O67" t="s">
        <v>48</v>
      </c>
      <c r="P67" t="s">
        <v>49</v>
      </c>
      <c r="Q67" t="s">
        <v>1218</v>
      </c>
      <c r="R67" t="s">
        <v>210</v>
      </c>
    </row>
    <row r="68" spans="1:18" ht="20" customHeight="1">
      <c r="A68" t="s">
        <v>42</v>
      </c>
      <c r="B68" t="s">
        <v>57</v>
      </c>
      <c r="D68" t="s">
        <v>1031</v>
      </c>
      <c r="E68" t="s">
        <v>35</v>
      </c>
      <c r="F68" t="s">
        <v>219</v>
      </c>
      <c r="G68" t="s">
        <v>1220</v>
      </c>
      <c r="H68" t="s">
        <v>44</v>
      </c>
      <c r="I68" t="s">
        <v>1028</v>
      </c>
      <c r="J68" t="s">
        <v>1028</v>
      </c>
      <c r="K68" t="s">
        <v>1028</v>
      </c>
      <c r="L68" t="s">
        <v>1221</v>
      </c>
      <c r="M68" t="s">
        <v>1222</v>
      </c>
      <c r="N68" t="s">
        <v>216</v>
      </c>
      <c r="O68" t="s">
        <v>48</v>
      </c>
      <c r="P68" t="s">
        <v>49</v>
      </c>
      <c r="Q68" t="s">
        <v>1005</v>
      </c>
      <c r="R68" t="s">
        <v>217</v>
      </c>
    </row>
    <row r="69" spans="1:18" ht="20" customHeight="1">
      <c r="A69" t="s">
        <v>42</v>
      </c>
      <c r="B69" t="s">
        <v>50</v>
      </c>
      <c r="C69" t="s">
        <v>35</v>
      </c>
      <c r="D69" t="s">
        <v>1031</v>
      </c>
      <c r="E69" t="s">
        <v>35</v>
      </c>
      <c r="F69" t="s">
        <v>309</v>
      </c>
      <c r="G69" t="s">
        <v>1223</v>
      </c>
      <c r="H69" t="s">
        <v>44</v>
      </c>
      <c r="I69" t="s">
        <v>44</v>
      </c>
      <c r="J69" t="s">
        <v>44</v>
      </c>
      <c r="K69" t="s">
        <v>44</v>
      </c>
      <c r="L69" t="s">
        <v>1224</v>
      </c>
      <c r="M69" t="s">
        <v>1225</v>
      </c>
      <c r="N69" t="s">
        <v>306</v>
      </c>
      <c r="O69" t="s">
        <v>132</v>
      </c>
      <c r="P69" t="s">
        <v>68</v>
      </c>
      <c r="Q69" t="s">
        <v>1004</v>
      </c>
      <c r="R69" t="s">
        <v>307</v>
      </c>
    </row>
    <row r="70" spans="1:18" ht="20" customHeight="1">
      <c r="A70" t="s">
        <v>42</v>
      </c>
      <c r="B70" t="s">
        <v>75</v>
      </c>
      <c r="D70" t="s">
        <v>1031</v>
      </c>
      <c r="E70" t="s">
        <v>35</v>
      </c>
      <c r="F70" t="s">
        <v>313</v>
      </c>
      <c r="G70" t="s">
        <v>1226</v>
      </c>
      <c r="H70" t="s">
        <v>44</v>
      </c>
      <c r="I70" t="s">
        <v>1028</v>
      </c>
      <c r="J70" t="s">
        <v>1028</v>
      </c>
      <c r="K70" t="s">
        <v>1028</v>
      </c>
      <c r="L70" t="s">
        <v>1227</v>
      </c>
      <c r="M70" t="s">
        <v>1228</v>
      </c>
      <c r="N70" t="s">
        <v>310</v>
      </c>
      <c r="O70" t="s">
        <v>48</v>
      </c>
      <c r="P70" t="s">
        <v>49</v>
      </c>
      <c r="Q70" t="s">
        <v>1004</v>
      </c>
      <c r="R70" t="s">
        <v>311</v>
      </c>
    </row>
    <row r="71" spans="1:18" ht="20" customHeight="1">
      <c r="A71" t="s">
        <v>42</v>
      </c>
      <c r="B71" t="s">
        <v>80</v>
      </c>
      <c r="C71" t="s">
        <v>175</v>
      </c>
      <c r="D71" t="s">
        <v>1026</v>
      </c>
      <c r="E71" t="s">
        <v>342</v>
      </c>
      <c r="F71" t="s">
        <v>636</v>
      </c>
      <c r="G71" t="s">
        <v>1229</v>
      </c>
      <c r="H71" t="s">
        <v>44</v>
      </c>
      <c r="I71" t="s">
        <v>1028</v>
      </c>
      <c r="J71" t="s">
        <v>1028</v>
      </c>
      <c r="K71" t="s">
        <v>1028</v>
      </c>
      <c r="L71" t="s">
        <v>1230</v>
      </c>
      <c r="M71" t="s">
        <v>1231</v>
      </c>
      <c r="N71" t="s">
        <v>633</v>
      </c>
      <c r="O71" t="s">
        <v>48</v>
      </c>
      <c r="P71" t="s">
        <v>49</v>
      </c>
      <c r="Q71" t="s">
        <v>1004</v>
      </c>
      <c r="R71" t="s">
        <v>634</v>
      </c>
    </row>
    <row r="72" spans="1:18" ht="20" customHeight="1">
      <c r="A72" t="s">
        <v>42</v>
      </c>
      <c r="B72" t="s">
        <v>50</v>
      </c>
      <c r="D72" t="s">
        <v>1031</v>
      </c>
      <c r="E72" t="s">
        <v>35</v>
      </c>
      <c r="F72" t="s">
        <v>628</v>
      </c>
      <c r="G72" t="s">
        <v>1157</v>
      </c>
      <c r="H72" t="s">
        <v>44</v>
      </c>
      <c r="I72" t="s">
        <v>44</v>
      </c>
      <c r="J72" t="s">
        <v>44</v>
      </c>
      <c r="K72" t="s">
        <v>1028</v>
      </c>
      <c r="L72" t="s">
        <v>1158</v>
      </c>
      <c r="M72" t="s">
        <v>1232</v>
      </c>
      <c r="N72" t="s">
        <v>637</v>
      </c>
      <c r="O72" t="s">
        <v>36</v>
      </c>
      <c r="P72" t="s">
        <v>37</v>
      </c>
      <c r="Q72" t="s">
        <v>1004</v>
      </c>
      <c r="R72" t="s">
        <v>612</v>
      </c>
    </row>
    <row r="73" spans="1:18" ht="20" customHeight="1">
      <c r="A73" t="s">
        <v>42</v>
      </c>
      <c r="B73" t="s">
        <v>127</v>
      </c>
      <c r="C73" t="s">
        <v>35</v>
      </c>
      <c r="D73" t="s">
        <v>1031</v>
      </c>
      <c r="E73" t="s">
        <v>35</v>
      </c>
      <c r="F73" t="s">
        <v>642</v>
      </c>
      <c r="G73" t="s">
        <v>1123</v>
      </c>
      <c r="H73" t="s">
        <v>44</v>
      </c>
      <c r="I73" t="s">
        <v>1028</v>
      </c>
      <c r="J73" t="s">
        <v>1028</v>
      </c>
      <c r="K73" t="s">
        <v>1028</v>
      </c>
      <c r="L73" t="s">
        <v>1124</v>
      </c>
      <c r="M73" t="s">
        <v>1233</v>
      </c>
      <c r="N73" t="s">
        <v>639</v>
      </c>
      <c r="O73" t="s">
        <v>48</v>
      </c>
      <c r="P73" t="s">
        <v>49</v>
      </c>
      <c r="Q73" t="s">
        <v>1006</v>
      </c>
      <c r="R73" t="s">
        <v>640</v>
      </c>
    </row>
    <row r="74" spans="1:18" ht="20" customHeight="1">
      <c r="A74" t="s">
        <v>42</v>
      </c>
      <c r="B74" t="s">
        <v>57</v>
      </c>
      <c r="C74" t="s">
        <v>35</v>
      </c>
      <c r="D74" t="s">
        <v>1031</v>
      </c>
      <c r="E74" t="s">
        <v>35</v>
      </c>
      <c r="F74" t="s">
        <v>223</v>
      </c>
      <c r="G74" t="s">
        <v>1234</v>
      </c>
      <c r="H74" t="s">
        <v>44</v>
      </c>
      <c r="I74" t="s">
        <v>1028</v>
      </c>
      <c r="J74" t="s">
        <v>1028</v>
      </c>
      <c r="K74" t="s">
        <v>1028</v>
      </c>
      <c r="L74" t="s">
        <v>1235</v>
      </c>
      <c r="M74" t="s">
        <v>1236</v>
      </c>
      <c r="N74" t="s">
        <v>220</v>
      </c>
      <c r="O74" t="s">
        <v>48</v>
      </c>
      <c r="P74" t="s">
        <v>49</v>
      </c>
      <c r="Q74" t="s">
        <v>1004</v>
      </c>
      <c r="R74" t="s">
        <v>221</v>
      </c>
    </row>
    <row r="75" spans="1:18" ht="20" customHeight="1">
      <c r="A75" t="s">
        <v>42</v>
      </c>
      <c r="B75" t="s">
        <v>57</v>
      </c>
      <c r="C75" t="s">
        <v>175</v>
      </c>
      <c r="D75" t="s">
        <v>1026</v>
      </c>
      <c r="E75" t="s">
        <v>342</v>
      </c>
      <c r="F75" t="s">
        <v>345</v>
      </c>
      <c r="G75" t="s">
        <v>1237</v>
      </c>
      <c r="H75" t="s">
        <v>44</v>
      </c>
      <c r="I75" t="s">
        <v>1028</v>
      </c>
      <c r="J75" t="s">
        <v>1028</v>
      </c>
      <c r="K75" t="s">
        <v>1028</v>
      </c>
      <c r="L75" t="s">
        <v>1238</v>
      </c>
      <c r="M75" t="s">
        <v>1239</v>
      </c>
      <c r="N75" t="s">
        <v>341</v>
      </c>
      <c r="O75" t="s">
        <v>48</v>
      </c>
      <c r="P75" t="s">
        <v>49</v>
      </c>
      <c r="Q75" t="s">
        <v>1004</v>
      </c>
      <c r="R75" t="s">
        <v>343</v>
      </c>
    </row>
    <row r="76" spans="1:18" ht="20" customHeight="1">
      <c r="A76" t="s">
        <v>42</v>
      </c>
      <c r="B76" t="s">
        <v>75</v>
      </c>
      <c r="D76" t="s">
        <v>1031</v>
      </c>
      <c r="E76" t="s">
        <v>35</v>
      </c>
      <c r="F76" t="s">
        <v>867</v>
      </c>
      <c r="G76" t="s">
        <v>1240</v>
      </c>
      <c r="H76" t="s">
        <v>44</v>
      </c>
      <c r="I76" t="s">
        <v>1028</v>
      </c>
      <c r="J76" t="s">
        <v>1028</v>
      </c>
      <c r="K76" t="s">
        <v>1028</v>
      </c>
      <c r="L76" t="s">
        <v>1241</v>
      </c>
      <c r="M76" t="s">
        <v>1242</v>
      </c>
      <c r="N76" t="s">
        <v>864</v>
      </c>
      <c r="O76" t="s">
        <v>48</v>
      </c>
      <c r="P76" t="s">
        <v>49</v>
      </c>
      <c r="Q76" t="s">
        <v>1005</v>
      </c>
      <c r="R76" t="s">
        <v>865</v>
      </c>
    </row>
    <row r="77" spans="1:18" ht="20" customHeight="1">
      <c r="A77" t="s">
        <v>42</v>
      </c>
      <c r="B77" t="s">
        <v>50</v>
      </c>
      <c r="C77" t="s">
        <v>175</v>
      </c>
      <c r="D77" t="s">
        <v>1031</v>
      </c>
      <c r="E77" t="s">
        <v>35</v>
      </c>
      <c r="F77" t="s">
        <v>729</v>
      </c>
      <c r="G77" t="s">
        <v>1243</v>
      </c>
      <c r="H77" t="s">
        <v>44</v>
      </c>
      <c r="I77" t="s">
        <v>1028</v>
      </c>
      <c r="J77" t="s">
        <v>1028</v>
      </c>
      <c r="K77" t="s">
        <v>1028</v>
      </c>
      <c r="L77" t="s">
        <v>1244</v>
      </c>
      <c r="M77" t="s">
        <v>1245</v>
      </c>
      <c r="N77" t="s">
        <v>727</v>
      </c>
      <c r="O77" t="s">
        <v>48</v>
      </c>
      <c r="P77" t="s">
        <v>49</v>
      </c>
      <c r="Q77" t="s">
        <v>1004</v>
      </c>
      <c r="R77" t="s">
        <v>414</v>
      </c>
    </row>
    <row r="78" spans="1:18" ht="20" customHeight="1">
      <c r="A78" t="s">
        <v>42</v>
      </c>
      <c r="B78" t="s">
        <v>80</v>
      </c>
      <c r="C78" t="s">
        <v>63</v>
      </c>
      <c r="D78" t="s">
        <v>1031</v>
      </c>
      <c r="E78" t="s">
        <v>35</v>
      </c>
      <c r="F78" t="s">
        <v>652</v>
      </c>
      <c r="G78" t="s">
        <v>1246</v>
      </c>
      <c r="H78" t="s">
        <v>44</v>
      </c>
      <c r="I78" t="s">
        <v>1028</v>
      </c>
      <c r="J78" t="s">
        <v>1028</v>
      </c>
      <c r="K78" t="s">
        <v>1028</v>
      </c>
      <c r="L78" t="s">
        <v>1247</v>
      </c>
      <c r="M78" t="s">
        <v>1248</v>
      </c>
      <c r="N78" t="s">
        <v>649</v>
      </c>
      <c r="O78" t="s">
        <v>48</v>
      </c>
      <c r="P78" t="s">
        <v>49</v>
      </c>
      <c r="Q78" t="s">
        <v>1004</v>
      </c>
      <c r="R78" t="s">
        <v>650</v>
      </c>
    </row>
    <row r="79" spans="1:18" ht="20" customHeight="1">
      <c r="A79" t="s">
        <v>42</v>
      </c>
      <c r="B79" t="s">
        <v>80</v>
      </c>
      <c r="C79" t="s">
        <v>175</v>
      </c>
      <c r="D79" t="s">
        <v>1031</v>
      </c>
      <c r="E79" t="s">
        <v>35</v>
      </c>
      <c r="F79" t="s">
        <v>226</v>
      </c>
      <c r="G79" t="s">
        <v>1249</v>
      </c>
      <c r="H79" t="s">
        <v>44</v>
      </c>
      <c r="I79" t="s">
        <v>1028</v>
      </c>
      <c r="J79" t="s">
        <v>1028</v>
      </c>
      <c r="K79" t="s">
        <v>1028</v>
      </c>
      <c r="L79" t="s">
        <v>1250</v>
      </c>
      <c r="M79" t="s">
        <v>1251</v>
      </c>
      <c r="N79" t="s">
        <v>224</v>
      </c>
      <c r="O79" t="s">
        <v>48</v>
      </c>
      <c r="P79" t="s">
        <v>49</v>
      </c>
      <c r="Q79" t="s">
        <v>1004</v>
      </c>
      <c r="R79" t="s">
        <v>164</v>
      </c>
    </row>
    <row r="80" spans="1:18" ht="20" customHeight="1">
      <c r="A80" t="s">
        <v>42</v>
      </c>
      <c r="B80" t="s">
        <v>80</v>
      </c>
      <c r="C80" t="s">
        <v>35</v>
      </c>
      <c r="D80" t="s">
        <v>1031</v>
      </c>
      <c r="E80" t="s">
        <v>35</v>
      </c>
      <c r="F80" t="s">
        <v>655</v>
      </c>
      <c r="G80" t="s">
        <v>1163</v>
      </c>
      <c r="H80" t="s">
        <v>44</v>
      </c>
      <c r="I80" t="s">
        <v>1028</v>
      </c>
      <c r="J80" t="s">
        <v>1028</v>
      </c>
      <c r="K80" t="s">
        <v>1028</v>
      </c>
      <c r="L80" t="s">
        <v>1164</v>
      </c>
      <c r="M80" t="s">
        <v>1252</v>
      </c>
      <c r="N80" t="s">
        <v>653</v>
      </c>
      <c r="O80" t="s">
        <v>48</v>
      </c>
      <c r="P80" t="s">
        <v>49</v>
      </c>
      <c r="Q80" t="s">
        <v>1004</v>
      </c>
      <c r="R80" t="s">
        <v>266</v>
      </c>
    </row>
    <row r="81" spans="1:18" ht="20" customHeight="1">
      <c r="A81" t="s">
        <v>42</v>
      </c>
      <c r="B81" t="s">
        <v>315</v>
      </c>
      <c r="C81" t="s">
        <v>35</v>
      </c>
      <c r="D81" t="s">
        <v>1031</v>
      </c>
      <c r="E81" t="s">
        <v>35</v>
      </c>
      <c r="F81" t="s">
        <v>318</v>
      </c>
      <c r="G81" t="s">
        <v>1253</v>
      </c>
      <c r="H81" t="s">
        <v>44</v>
      </c>
      <c r="I81" t="s">
        <v>1028</v>
      </c>
      <c r="J81" t="s">
        <v>1028</v>
      </c>
      <c r="K81" t="s">
        <v>1028</v>
      </c>
      <c r="L81" t="s">
        <v>1254</v>
      </c>
      <c r="M81" t="s">
        <v>1255</v>
      </c>
      <c r="N81" t="s">
        <v>314</v>
      </c>
      <c r="O81" t="s">
        <v>48</v>
      </c>
      <c r="P81" t="s">
        <v>49</v>
      </c>
      <c r="Q81" t="s">
        <v>1006</v>
      </c>
      <c r="R81" t="s">
        <v>316</v>
      </c>
    </row>
    <row r="82" spans="1:18" ht="20" customHeight="1">
      <c r="A82" t="s">
        <v>42</v>
      </c>
      <c r="B82" t="s">
        <v>50</v>
      </c>
      <c r="D82" t="s">
        <v>1031</v>
      </c>
      <c r="E82" t="s">
        <v>35</v>
      </c>
      <c r="F82" t="s">
        <v>322</v>
      </c>
      <c r="G82" t="s">
        <v>1256</v>
      </c>
      <c r="H82" t="s">
        <v>44</v>
      </c>
      <c r="I82" t="s">
        <v>44</v>
      </c>
      <c r="J82" t="s">
        <v>44</v>
      </c>
      <c r="K82" t="s">
        <v>44</v>
      </c>
      <c r="L82" t="s">
        <v>1257</v>
      </c>
      <c r="M82" t="s">
        <v>1258</v>
      </c>
      <c r="N82" t="s">
        <v>868</v>
      </c>
      <c r="O82" t="s">
        <v>132</v>
      </c>
      <c r="P82" t="s">
        <v>68</v>
      </c>
      <c r="Q82" t="s">
        <v>1005</v>
      </c>
      <c r="R82" t="s">
        <v>869</v>
      </c>
    </row>
    <row r="83" spans="1:18" ht="20" customHeight="1">
      <c r="A83" t="s">
        <v>42</v>
      </c>
      <c r="B83" t="s">
        <v>50</v>
      </c>
      <c r="D83" t="s">
        <v>1031</v>
      </c>
      <c r="E83" t="s">
        <v>35</v>
      </c>
      <c r="F83" t="s">
        <v>322</v>
      </c>
      <c r="G83" t="s">
        <v>1259</v>
      </c>
      <c r="H83" t="s">
        <v>44</v>
      </c>
      <c r="I83" t="s">
        <v>44</v>
      </c>
      <c r="J83" t="s">
        <v>44</v>
      </c>
      <c r="K83" t="s">
        <v>44</v>
      </c>
      <c r="L83" t="s">
        <v>1260</v>
      </c>
      <c r="M83" t="s">
        <v>1261</v>
      </c>
      <c r="N83" t="s">
        <v>319</v>
      </c>
      <c r="O83" t="s">
        <v>132</v>
      </c>
      <c r="P83" t="s">
        <v>68</v>
      </c>
      <c r="Q83" t="s">
        <v>1004</v>
      </c>
      <c r="R83" t="s">
        <v>320</v>
      </c>
    </row>
    <row r="84" spans="1:18" ht="20" customHeight="1">
      <c r="A84" t="s">
        <v>42</v>
      </c>
      <c r="B84" t="s">
        <v>57</v>
      </c>
      <c r="C84" t="s">
        <v>35</v>
      </c>
      <c r="D84" t="s">
        <v>1031</v>
      </c>
      <c r="E84" t="s">
        <v>35</v>
      </c>
      <c r="F84" t="s">
        <v>322</v>
      </c>
      <c r="G84" t="s">
        <v>1262</v>
      </c>
      <c r="H84" t="s">
        <v>44</v>
      </c>
      <c r="I84" t="s">
        <v>44</v>
      </c>
      <c r="J84" t="s">
        <v>44</v>
      </c>
      <c r="K84" t="s">
        <v>44</v>
      </c>
      <c r="L84" t="s">
        <v>1263</v>
      </c>
      <c r="M84" t="s">
        <v>1264</v>
      </c>
      <c r="N84" t="s">
        <v>871</v>
      </c>
      <c r="O84" t="s">
        <v>132</v>
      </c>
      <c r="P84" t="s">
        <v>68</v>
      </c>
      <c r="Q84" t="s">
        <v>1005</v>
      </c>
      <c r="R84" t="s">
        <v>819</v>
      </c>
    </row>
    <row r="85" spans="1:18" ht="20" customHeight="1">
      <c r="A85" t="s">
        <v>42</v>
      </c>
      <c r="B85" t="s">
        <v>50</v>
      </c>
      <c r="C85" t="s">
        <v>35</v>
      </c>
      <c r="D85" t="s">
        <v>1031</v>
      </c>
      <c r="E85" t="s">
        <v>35</v>
      </c>
      <c r="F85" t="s">
        <v>876</v>
      </c>
      <c r="G85" t="s">
        <v>1265</v>
      </c>
      <c r="H85" t="s">
        <v>44</v>
      </c>
      <c r="I85" t="s">
        <v>44</v>
      </c>
      <c r="J85" t="s">
        <v>44</v>
      </c>
      <c r="K85" t="s">
        <v>44</v>
      </c>
      <c r="L85" t="s">
        <v>1266</v>
      </c>
      <c r="M85" t="s">
        <v>1267</v>
      </c>
      <c r="N85" t="s">
        <v>873</v>
      </c>
      <c r="O85" t="s">
        <v>132</v>
      </c>
      <c r="P85" t="s">
        <v>68</v>
      </c>
      <c r="Q85" t="s">
        <v>1004</v>
      </c>
      <c r="R85" t="s">
        <v>874</v>
      </c>
    </row>
    <row r="86" spans="1:18" ht="20" customHeight="1">
      <c r="A86" t="s">
        <v>42</v>
      </c>
      <c r="B86" t="s">
        <v>50</v>
      </c>
      <c r="C86" t="s">
        <v>175</v>
      </c>
      <c r="D86" t="s">
        <v>1026</v>
      </c>
      <c r="E86" t="s">
        <v>342</v>
      </c>
      <c r="F86" t="s">
        <v>658</v>
      </c>
      <c r="G86" t="s">
        <v>1268</v>
      </c>
      <c r="H86" t="s">
        <v>44</v>
      </c>
      <c r="I86" t="s">
        <v>1028</v>
      </c>
      <c r="J86" t="s">
        <v>1028</v>
      </c>
      <c r="K86" t="s">
        <v>1028</v>
      </c>
      <c r="L86" t="s">
        <v>1269</v>
      </c>
      <c r="M86" t="s">
        <v>1270</v>
      </c>
      <c r="N86" t="s">
        <v>656</v>
      </c>
      <c r="O86" t="s">
        <v>48</v>
      </c>
      <c r="P86" t="s">
        <v>49</v>
      </c>
      <c r="Q86" t="s">
        <v>1004</v>
      </c>
      <c r="R86" t="s">
        <v>307</v>
      </c>
    </row>
    <row r="87" spans="1:18" ht="20" customHeight="1">
      <c r="A87" t="s">
        <v>42</v>
      </c>
      <c r="B87" t="s">
        <v>38</v>
      </c>
      <c r="D87" t="s">
        <v>1031</v>
      </c>
      <c r="E87" t="s">
        <v>35</v>
      </c>
      <c r="F87" t="s">
        <v>662</v>
      </c>
      <c r="G87" t="s">
        <v>1271</v>
      </c>
      <c r="H87" t="s">
        <v>44</v>
      </c>
      <c r="I87" t="s">
        <v>1028</v>
      </c>
      <c r="J87" t="s">
        <v>1028</v>
      </c>
      <c r="K87" t="s">
        <v>1028</v>
      </c>
      <c r="L87" t="s">
        <v>1272</v>
      </c>
      <c r="M87" t="s">
        <v>1273</v>
      </c>
      <c r="N87" t="s">
        <v>659</v>
      </c>
      <c r="O87" t="s">
        <v>48</v>
      </c>
      <c r="P87" t="s">
        <v>49</v>
      </c>
      <c r="Q87" t="s">
        <v>1004</v>
      </c>
      <c r="R87" t="s">
        <v>660</v>
      </c>
    </row>
    <row r="88" spans="1:18" ht="20" customHeight="1">
      <c r="A88" t="s">
        <v>42</v>
      </c>
      <c r="B88" t="s">
        <v>101</v>
      </c>
      <c r="D88" t="s">
        <v>1031</v>
      </c>
      <c r="E88" t="s">
        <v>35</v>
      </c>
      <c r="F88" t="s">
        <v>665</v>
      </c>
      <c r="G88" t="s">
        <v>1274</v>
      </c>
      <c r="H88" t="s">
        <v>44</v>
      </c>
      <c r="I88" t="s">
        <v>44</v>
      </c>
      <c r="J88" t="s">
        <v>44</v>
      </c>
      <c r="K88" t="s">
        <v>1028</v>
      </c>
      <c r="L88" t="s">
        <v>1275</v>
      </c>
      <c r="M88" t="s">
        <v>665</v>
      </c>
      <c r="N88" t="s">
        <v>663</v>
      </c>
      <c r="O88" t="s">
        <v>36</v>
      </c>
      <c r="P88" t="s">
        <v>37</v>
      </c>
      <c r="Q88" t="s">
        <v>1004</v>
      </c>
      <c r="R88" t="s">
        <v>368</v>
      </c>
    </row>
    <row r="89" spans="1:18" ht="20" customHeight="1">
      <c r="A89" t="s">
        <v>42</v>
      </c>
      <c r="B89" t="s">
        <v>127</v>
      </c>
      <c r="D89" t="s">
        <v>1031</v>
      </c>
      <c r="E89" t="s">
        <v>35</v>
      </c>
      <c r="F89" t="s">
        <v>668</v>
      </c>
      <c r="G89" t="s">
        <v>1276</v>
      </c>
      <c r="H89" t="s">
        <v>44</v>
      </c>
      <c r="I89" t="s">
        <v>1028</v>
      </c>
      <c r="J89" t="s">
        <v>1028</v>
      </c>
      <c r="K89" t="s">
        <v>1028</v>
      </c>
      <c r="L89" t="s">
        <v>1277</v>
      </c>
      <c r="M89" t="s">
        <v>1278</v>
      </c>
      <c r="N89" t="s">
        <v>666</v>
      </c>
      <c r="O89" t="s">
        <v>48</v>
      </c>
      <c r="P89" t="s">
        <v>49</v>
      </c>
      <c r="Q89" t="s">
        <v>1005</v>
      </c>
      <c r="R89" t="s">
        <v>467</v>
      </c>
    </row>
    <row r="90" spans="1:18" ht="20" customHeight="1">
      <c r="A90" t="s">
        <v>42</v>
      </c>
      <c r="B90" t="s">
        <v>229</v>
      </c>
      <c r="C90" t="s">
        <v>63</v>
      </c>
      <c r="D90" t="s">
        <v>1031</v>
      </c>
      <c r="E90" t="s">
        <v>35</v>
      </c>
      <c r="F90" t="s">
        <v>988</v>
      </c>
      <c r="G90" t="s">
        <v>1279</v>
      </c>
      <c r="H90" t="s">
        <v>44</v>
      </c>
      <c r="I90" t="s">
        <v>1028</v>
      </c>
      <c r="J90" t="s">
        <v>1028</v>
      </c>
      <c r="K90" t="s">
        <v>1028</v>
      </c>
      <c r="L90" t="s">
        <v>1280</v>
      </c>
      <c r="M90" t="s">
        <v>1281</v>
      </c>
      <c r="N90" t="s">
        <v>986</v>
      </c>
      <c r="O90" t="s">
        <v>48</v>
      </c>
      <c r="P90" t="s">
        <v>69</v>
      </c>
      <c r="Q90" t="s">
        <v>1004</v>
      </c>
      <c r="R90" t="s">
        <v>756</v>
      </c>
    </row>
    <row r="91" spans="1:18" ht="20" customHeight="1">
      <c r="A91" t="s">
        <v>42</v>
      </c>
      <c r="B91" t="s">
        <v>80</v>
      </c>
      <c r="C91" t="s">
        <v>35</v>
      </c>
      <c r="D91" t="s">
        <v>1031</v>
      </c>
      <c r="E91" t="s">
        <v>35</v>
      </c>
      <c r="F91" t="s">
        <v>672</v>
      </c>
      <c r="G91" t="s">
        <v>1282</v>
      </c>
      <c r="H91" t="s">
        <v>44</v>
      </c>
      <c r="I91" t="s">
        <v>1028</v>
      </c>
      <c r="J91" t="s">
        <v>1028</v>
      </c>
      <c r="K91" t="s">
        <v>1028</v>
      </c>
      <c r="L91" t="s">
        <v>1283</v>
      </c>
      <c r="M91" t="s">
        <v>1284</v>
      </c>
      <c r="N91" t="s">
        <v>669</v>
      </c>
      <c r="O91" t="s">
        <v>48</v>
      </c>
      <c r="P91" t="s">
        <v>49</v>
      </c>
      <c r="Q91" t="s">
        <v>1004</v>
      </c>
      <c r="R91" t="s">
        <v>670</v>
      </c>
    </row>
    <row r="92" spans="1:18" ht="20" customHeight="1">
      <c r="A92" t="s">
        <v>42</v>
      </c>
      <c r="B92" t="s">
        <v>80</v>
      </c>
      <c r="D92" t="s">
        <v>1031</v>
      </c>
      <c r="E92" t="s">
        <v>35</v>
      </c>
      <c r="F92" t="s">
        <v>675</v>
      </c>
      <c r="G92" t="s">
        <v>1249</v>
      </c>
      <c r="H92" t="s">
        <v>44</v>
      </c>
      <c r="I92" t="s">
        <v>1028</v>
      </c>
      <c r="J92" t="s">
        <v>1028</v>
      </c>
      <c r="K92" t="s">
        <v>1028</v>
      </c>
      <c r="L92" t="s">
        <v>1250</v>
      </c>
      <c r="M92" t="s">
        <v>1285</v>
      </c>
      <c r="N92" t="s">
        <v>673</v>
      </c>
      <c r="O92" t="s">
        <v>48</v>
      </c>
      <c r="P92" t="s">
        <v>49</v>
      </c>
      <c r="Q92" t="s">
        <v>1004</v>
      </c>
      <c r="R92" t="s">
        <v>164</v>
      </c>
    </row>
    <row r="93" spans="1:18" ht="20" customHeight="1">
      <c r="A93" t="s">
        <v>42</v>
      </c>
      <c r="B93" t="s">
        <v>75</v>
      </c>
      <c r="C93" t="s">
        <v>35</v>
      </c>
      <c r="D93" t="s">
        <v>1031</v>
      </c>
      <c r="E93" t="s">
        <v>35</v>
      </c>
      <c r="F93" t="s">
        <v>876</v>
      </c>
      <c r="G93" t="s">
        <v>1286</v>
      </c>
      <c r="H93" t="s">
        <v>44</v>
      </c>
      <c r="I93" t="s">
        <v>44</v>
      </c>
      <c r="J93" t="s">
        <v>44</v>
      </c>
      <c r="K93" t="s">
        <v>44</v>
      </c>
      <c r="L93" t="s">
        <v>1287</v>
      </c>
      <c r="M93" t="s">
        <v>1288</v>
      </c>
      <c r="N93" t="s">
        <v>877</v>
      </c>
      <c r="O93" t="s">
        <v>132</v>
      </c>
      <c r="P93" t="s">
        <v>68</v>
      </c>
      <c r="Q93" t="s">
        <v>1005</v>
      </c>
      <c r="R93" t="s">
        <v>878</v>
      </c>
    </row>
    <row r="94" spans="1:18" ht="20" customHeight="1">
      <c r="A94" t="s">
        <v>42</v>
      </c>
      <c r="B94" t="s">
        <v>229</v>
      </c>
      <c r="C94" t="s">
        <v>35</v>
      </c>
      <c r="D94" t="s">
        <v>1031</v>
      </c>
      <c r="E94" t="s">
        <v>35</v>
      </c>
      <c r="F94" t="s">
        <v>232</v>
      </c>
      <c r="G94" t="s">
        <v>1289</v>
      </c>
      <c r="H94" t="s">
        <v>44</v>
      </c>
      <c r="I94" t="s">
        <v>44</v>
      </c>
      <c r="J94" t="s">
        <v>44</v>
      </c>
      <c r="K94" t="s">
        <v>1028</v>
      </c>
      <c r="L94" t="s">
        <v>1290</v>
      </c>
      <c r="M94" t="s">
        <v>1291</v>
      </c>
      <c r="N94" t="s">
        <v>228</v>
      </c>
      <c r="O94" t="s">
        <v>36</v>
      </c>
      <c r="P94" t="s">
        <v>37</v>
      </c>
      <c r="Q94" t="s">
        <v>1004</v>
      </c>
      <c r="R94" t="s">
        <v>230</v>
      </c>
    </row>
    <row r="95" spans="1:18" ht="20" customHeight="1">
      <c r="A95" t="s">
        <v>42</v>
      </c>
      <c r="B95" t="s">
        <v>80</v>
      </c>
      <c r="D95" t="s">
        <v>1031</v>
      </c>
      <c r="E95" t="s">
        <v>35</v>
      </c>
      <c r="F95" t="s">
        <v>678</v>
      </c>
      <c r="G95" t="s">
        <v>1292</v>
      </c>
      <c r="H95" t="s">
        <v>44</v>
      </c>
      <c r="I95" t="s">
        <v>44</v>
      </c>
      <c r="J95" t="s">
        <v>44</v>
      </c>
      <c r="K95" t="s">
        <v>1028</v>
      </c>
      <c r="L95" t="s">
        <v>1293</v>
      </c>
      <c r="M95" t="s">
        <v>1294</v>
      </c>
      <c r="N95" t="s">
        <v>676</v>
      </c>
      <c r="O95" t="s">
        <v>36</v>
      </c>
      <c r="P95" t="s">
        <v>37</v>
      </c>
      <c r="Q95" t="s">
        <v>1004</v>
      </c>
      <c r="R95" t="s">
        <v>608</v>
      </c>
    </row>
    <row r="96" spans="1:18" ht="20" customHeight="1">
      <c r="A96" t="s">
        <v>42</v>
      </c>
      <c r="B96" t="s">
        <v>80</v>
      </c>
      <c r="D96" t="s">
        <v>1031</v>
      </c>
      <c r="E96" t="s">
        <v>35</v>
      </c>
      <c r="F96" t="s">
        <v>678</v>
      </c>
      <c r="G96" t="s">
        <v>1292</v>
      </c>
      <c r="H96" t="s">
        <v>44</v>
      </c>
      <c r="I96" t="s">
        <v>44</v>
      </c>
      <c r="J96" t="s">
        <v>44</v>
      </c>
      <c r="K96" t="s">
        <v>1028</v>
      </c>
      <c r="L96" t="s">
        <v>1293</v>
      </c>
      <c r="M96" t="s">
        <v>1295</v>
      </c>
      <c r="N96" t="s">
        <v>679</v>
      </c>
      <c r="O96" t="s">
        <v>36</v>
      </c>
      <c r="P96" t="s">
        <v>37</v>
      </c>
      <c r="Q96" t="s">
        <v>1004</v>
      </c>
      <c r="R96" t="s">
        <v>608</v>
      </c>
    </row>
    <row r="97" spans="1:18" ht="20" customHeight="1">
      <c r="A97" t="s">
        <v>42</v>
      </c>
      <c r="B97" t="s">
        <v>234</v>
      </c>
      <c r="C97" t="s">
        <v>35</v>
      </c>
      <c r="D97" t="s">
        <v>1031</v>
      </c>
      <c r="E97" t="s">
        <v>35</v>
      </c>
      <c r="F97" t="s">
        <v>237</v>
      </c>
      <c r="G97" t="s">
        <v>1296</v>
      </c>
      <c r="H97" t="s">
        <v>44</v>
      </c>
      <c r="I97" t="s">
        <v>44</v>
      </c>
      <c r="J97" t="s">
        <v>44</v>
      </c>
      <c r="K97" t="s">
        <v>1028</v>
      </c>
      <c r="L97" t="s">
        <v>1297</v>
      </c>
      <c r="M97" t="s">
        <v>1298</v>
      </c>
      <c r="N97" t="s">
        <v>233</v>
      </c>
      <c r="O97" t="s">
        <v>36</v>
      </c>
      <c r="P97" t="s">
        <v>37</v>
      </c>
      <c r="Q97" t="s">
        <v>1004</v>
      </c>
      <c r="R97" t="s">
        <v>235</v>
      </c>
    </row>
    <row r="98" spans="1:18" ht="20" customHeight="1">
      <c r="A98" t="s">
        <v>42</v>
      </c>
      <c r="B98" t="s">
        <v>75</v>
      </c>
      <c r="D98" t="s">
        <v>1031</v>
      </c>
      <c r="E98" t="s">
        <v>35</v>
      </c>
      <c r="F98" t="s">
        <v>876</v>
      </c>
      <c r="G98" t="s">
        <v>1299</v>
      </c>
      <c r="H98" t="s">
        <v>44</v>
      </c>
      <c r="I98" t="s">
        <v>44</v>
      </c>
      <c r="J98" t="s">
        <v>44</v>
      </c>
      <c r="K98" t="s">
        <v>44</v>
      </c>
      <c r="L98" t="s">
        <v>1300</v>
      </c>
      <c r="M98" t="s">
        <v>1301</v>
      </c>
      <c r="N98" t="s">
        <v>880</v>
      </c>
      <c r="O98" t="s">
        <v>132</v>
      </c>
      <c r="P98" t="s">
        <v>68</v>
      </c>
      <c r="Q98" t="s">
        <v>1004</v>
      </c>
      <c r="R98" t="s">
        <v>881</v>
      </c>
    </row>
    <row r="99" spans="1:18" ht="20" customHeight="1">
      <c r="A99" t="s">
        <v>42</v>
      </c>
      <c r="B99" t="s">
        <v>75</v>
      </c>
      <c r="D99" t="s">
        <v>1031</v>
      </c>
      <c r="E99" t="s">
        <v>35</v>
      </c>
      <c r="F99" t="s">
        <v>992</v>
      </c>
      <c r="G99" t="s">
        <v>1302</v>
      </c>
      <c r="H99" t="s">
        <v>44</v>
      </c>
      <c r="I99" t="s">
        <v>44</v>
      </c>
      <c r="J99" t="s">
        <v>44</v>
      </c>
      <c r="K99" t="s">
        <v>44</v>
      </c>
      <c r="L99" t="s">
        <v>1303</v>
      </c>
      <c r="M99" t="s">
        <v>1304</v>
      </c>
      <c r="N99" t="s">
        <v>989</v>
      </c>
      <c r="O99" t="s">
        <v>132</v>
      </c>
      <c r="P99" t="s">
        <v>68</v>
      </c>
      <c r="Q99" t="s">
        <v>1005</v>
      </c>
      <c r="R99" t="s">
        <v>990</v>
      </c>
    </row>
    <row r="100" spans="1:18" ht="20" customHeight="1">
      <c r="A100" t="s">
        <v>42</v>
      </c>
      <c r="B100" t="s">
        <v>50</v>
      </c>
      <c r="C100" t="s">
        <v>35</v>
      </c>
      <c r="D100" t="s">
        <v>1031</v>
      </c>
      <c r="E100" t="s">
        <v>35</v>
      </c>
      <c r="F100" t="s">
        <v>684</v>
      </c>
      <c r="G100" t="s">
        <v>1305</v>
      </c>
      <c r="H100" t="s">
        <v>44</v>
      </c>
      <c r="I100" t="s">
        <v>1028</v>
      </c>
      <c r="J100" t="s">
        <v>1028</v>
      </c>
      <c r="K100" t="s">
        <v>1028</v>
      </c>
      <c r="L100" t="s">
        <v>1306</v>
      </c>
      <c r="M100" t="s">
        <v>1307</v>
      </c>
      <c r="N100" t="s">
        <v>681</v>
      </c>
      <c r="O100" t="s">
        <v>48</v>
      </c>
      <c r="P100" t="s">
        <v>49</v>
      </c>
      <c r="Q100" t="s">
        <v>1005</v>
      </c>
      <c r="R100" t="s">
        <v>682</v>
      </c>
    </row>
    <row r="101" spans="1:18" ht="20" customHeight="1">
      <c r="A101" t="s">
        <v>42</v>
      </c>
      <c r="B101" t="s">
        <v>75</v>
      </c>
      <c r="C101" t="s">
        <v>35</v>
      </c>
      <c r="D101" t="s">
        <v>1031</v>
      </c>
      <c r="E101" t="s">
        <v>35</v>
      </c>
      <c r="F101" t="s">
        <v>687</v>
      </c>
      <c r="G101" t="s">
        <v>1308</v>
      </c>
      <c r="H101" t="s">
        <v>44</v>
      </c>
      <c r="I101" t="s">
        <v>1028</v>
      </c>
      <c r="J101" t="s">
        <v>1028</v>
      </c>
      <c r="K101" t="s">
        <v>1028</v>
      </c>
      <c r="L101" t="s">
        <v>1309</v>
      </c>
      <c r="M101" t="s">
        <v>1310</v>
      </c>
      <c r="N101" t="s">
        <v>685</v>
      </c>
      <c r="O101" t="s">
        <v>48</v>
      </c>
      <c r="P101" t="s">
        <v>49</v>
      </c>
      <c r="Q101" t="s">
        <v>1005</v>
      </c>
      <c r="R101" t="s">
        <v>389</v>
      </c>
    </row>
    <row r="102" spans="1:18" ht="20" customHeight="1">
      <c r="A102" t="s">
        <v>42</v>
      </c>
      <c r="B102" t="s">
        <v>38</v>
      </c>
      <c r="C102" t="s">
        <v>35</v>
      </c>
      <c r="D102" t="s">
        <v>1031</v>
      </c>
      <c r="E102" t="s">
        <v>35</v>
      </c>
      <c r="F102" t="s">
        <v>691</v>
      </c>
      <c r="G102" t="s">
        <v>1311</v>
      </c>
      <c r="H102" t="s">
        <v>44</v>
      </c>
      <c r="I102" t="s">
        <v>1028</v>
      </c>
      <c r="J102" t="s">
        <v>1028</v>
      </c>
      <c r="K102" t="s">
        <v>1028</v>
      </c>
      <c r="L102" t="s">
        <v>1312</v>
      </c>
      <c r="M102" t="s">
        <v>1313</v>
      </c>
      <c r="N102" t="s">
        <v>688</v>
      </c>
      <c r="O102" t="s">
        <v>48</v>
      </c>
      <c r="P102" t="s">
        <v>49</v>
      </c>
      <c r="Q102" t="s">
        <v>1005</v>
      </c>
      <c r="R102" t="s">
        <v>689</v>
      </c>
    </row>
    <row r="103" spans="1:18" ht="20" customHeight="1">
      <c r="A103" t="s">
        <v>42</v>
      </c>
      <c r="B103" t="s">
        <v>50</v>
      </c>
      <c r="C103" t="s">
        <v>35</v>
      </c>
      <c r="D103" t="s">
        <v>1031</v>
      </c>
      <c r="E103" t="s">
        <v>35</v>
      </c>
      <c r="F103" t="s">
        <v>945</v>
      </c>
      <c r="G103" t="s">
        <v>1197</v>
      </c>
      <c r="H103" t="s">
        <v>44</v>
      </c>
      <c r="I103" t="s">
        <v>1028</v>
      </c>
      <c r="J103" t="s">
        <v>1028</v>
      </c>
      <c r="K103" t="s">
        <v>1028</v>
      </c>
      <c r="L103" t="s">
        <v>1198</v>
      </c>
      <c r="M103" t="s">
        <v>1314</v>
      </c>
      <c r="N103" t="s">
        <v>943</v>
      </c>
      <c r="O103" t="s">
        <v>48</v>
      </c>
      <c r="P103" t="s">
        <v>49</v>
      </c>
      <c r="Q103" t="s">
        <v>1004</v>
      </c>
      <c r="R103" t="s">
        <v>307</v>
      </c>
    </row>
    <row r="104" spans="1:18" ht="20" customHeight="1">
      <c r="A104" t="s">
        <v>42</v>
      </c>
      <c r="B104" t="s">
        <v>50</v>
      </c>
      <c r="D104" t="s">
        <v>1031</v>
      </c>
      <c r="E104" t="s">
        <v>35</v>
      </c>
      <c r="F104" t="s">
        <v>886</v>
      </c>
      <c r="G104" t="s">
        <v>1315</v>
      </c>
      <c r="H104" t="s">
        <v>44</v>
      </c>
      <c r="I104" t="s">
        <v>44</v>
      </c>
      <c r="J104" t="s">
        <v>44</v>
      </c>
      <c r="K104" t="s">
        <v>44</v>
      </c>
      <c r="L104" t="s">
        <v>1316</v>
      </c>
      <c r="M104" t="s">
        <v>1317</v>
      </c>
      <c r="N104" t="s">
        <v>883</v>
      </c>
      <c r="O104" t="s">
        <v>132</v>
      </c>
      <c r="P104" t="s">
        <v>68</v>
      </c>
      <c r="Q104" t="s">
        <v>1004</v>
      </c>
      <c r="R104" t="s">
        <v>884</v>
      </c>
    </row>
    <row r="105" spans="1:18" ht="20" customHeight="1">
      <c r="A105" t="s">
        <v>42</v>
      </c>
      <c r="B105" t="s">
        <v>101</v>
      </c>
      <c r="C105" t="s">
        <v>35</v>
      </c>
      <c r="D105" t="s">
        <v>1031</v>
      </c>
      <c r="E105" t="s">
        <v>35</v>
      </c>
      <c r="F105" t="s">
        <v>241</v>
      </c>
      <c r="G105" t="s">
        <v>1318</v>
      </c>
      <c r="H105" t="s">
        <v>44</v>
      </c>
      <c r="I105" t="s">
        <v>1028</v>
      </c>
      <c r="J105" t="s">
        <v>1028</v>
      </c>
      <c r="K105" t="s">
        <v>1028</v>
      </c>
      <c r="L105" t="s">
        <v>1319</v>
      </c>
      <c r="M105" t="s">
        <v>1320</v>
      </c>
      <c r="N105" t="s">
        <v>238</v>
      </c>
      <c r="O105" t="s">
        <v>48</v>
      </c>
      <c r="P105" t="s">
        <v>49</v>
      </c>
      <c r="Q105" t="s">
        <v>1004</v>
      </c>
      <c r="R105" t="s">
        <v>239</v>
      </c>
    </row>
    <row r="106" spans="1:18" ht="20" customHeight="1">
      <c r="A106" t="s">
        <v>42</v>
      </c>
      <c r="B106" t="s">
        <v>50</v>
      </c>
      <c r="D106" t="s">
        <v>1031</v>
      </c>
      <c r="E106" t="s">
        <v>35</v>
      </c>
      <c r="F106" t="s">
        <v>695</v>
      </c>
      <c r="G106" t="s">
        <v>1321</v>
      </c>
      <c r="H106" t="s">
        <v>44</v>
      </c>
      <c r="I106" t="s">
        <v>1028</v>
      </c>
      <c r="J106" t="s">
        <v>1028</v>
      </c>
      <c r="K106" t="s">
        <v>1028</v>
      </c>
      <c r="L106" t="s">
        <v>1322</v>
      </c>
      <c r="M106" t="s">
        <v>1323</v>
      </c>
      <c r="N106" t="s">
        <v>692</v>
      </c>
      <c r="O106" t="s">
        <v>48</v>
      </c>
      <c r="P106" t="s">
        <v>49</v>
      </c>
      <c r="Q106" t="s">
        <v>1004</v>
      </c>
      <c r="R106" t="s">
        <v>693</v>
      </c>
    </row>
    <row r="107" spans="1:18" ht="20" customHeight="1">
      <c r="A107" t="s">
        <v>42</v>
      </c>
      <c r="B107" t="s">
        <v>697</v>
      </c>
      <c r="D107" t="s">
        <v>1031</v>
      </c>
      <c r="E107" t="s">
        <v>35</v>
      </c>
      <c r="F107" t="s">
        <v>331</v>
      </c>
      <c r="G107" t="s">
        <v>1324</v>
      </c>
      <c r="H107" t="s">
        <v>44</v>
      </c>
      <c r="I107" t="s">
        <v>44</v>
      </c>
      <c r="J107" t="s">
        <v>44</v>
      </c>
      <c r="K107" t="s">
        <v>44</v>
      </c>
      <c r="L107" t="s">
        <v>1325</v>
      </c>
      <c r="M107" t="s">
        <v>1326</v>
      </c>
      <c r="N107" t="s">
        <v>887</v>
      </c>
      <c r="O107" t="s">
        <v>132</v>
      </c>
      <c r="P107" t="s">
        <v>68</v>
      </c>
      <c r="Q107" t="s">
        <v>1005</v>
      </c>
      <c r="R107" t="s">
        <v>698</v>
      </c>
    </row>
    <row r="108" spans="1:18" ht="20" customHeight="1">
      <c r="A108" t="s">
        <v>42</v>
      </c>
      <c r="B108" t="s">
        <v>697</v>
      </c>
      <c r="C108" t="s">
        <v>35</v>
      </c>
      <c r="D108" t="s">
        <v>1031</v>
      </c>
      <c r="E108" t="s">
        <v>35</v>
      </c>
      <c r="F108" t="s">
        <v>700</v>
      </c>
      <c r="G108" t="s">
        <v>1327</v>
      </c>
      <c r="H108" t="s">
        <v>44</v>
      </c>
      <c r="I108" t="s">
        <v>1028</v>
      </c>
      <c r="J108" t="s">
        <v>1028</v>
      </c>
      <c r="K108" t="s">
        <v>1028</v>
      </c>
      <c r="L108" t="s">
        <v>1328</v>
      </c>
      <c r="M108" t="s">
        <v>1329</v>
      </c>
      <c r="N108" t="s">
        <v>696</v>
      </c>
      <c r="O108" t="s">
        <v>48</v>
      </c>
      <c r="P108" t="s">
        <v>49</v>
      </c>
      <c r="Q108" t="s">
        <v>1005</v>
      </c>
      <c r="R108" t="s">
        <v>698</v>
      </c>
    </row>
    <row r="109" spans="1:18" ht="20" customHeight="1">
      <c r="A109" t="s">
        <v>42</v>
      </c>
      <c r="B109" t="s">
        <v>127</v>
      </c>
      <c r="D109" t="s">
        <v>1031</v>
      </c>
      <c r="E109" t="s">
        <v>35</v>
      </c>
      <c r="F109" t="s">
        <v>704</v>
      </c>
      <c r="G109" t="s">
        <v>1330</v>
      </c>
      <c r="H109" t="s">
        <v>44</v>
      </c>
      <c r="I109" t="s">
        <v>1028</v>
      </c>
      <c r="J109" t="s">
        <v>1028</v>
      </c>
      <c r="K109" t="s">
        <v>1028</v>
      </c>
      <c r="L109" t="s">
        <v>1331</v>
      </c>
      <c r="M109" t="s">
        <v>1332</v>
      </c>
      <c r="N109" t="s">
        <v>701</v>
      </c>
      <c r="O109" t="s">
        <v>48</v>
      </c>
      <c r="P109" t="s">
        <v>49</v>
      </c>
      <c r="Q109" t="s">
        <v>1004</v>
      </c>
      <c r="R109" t="s">
        <v>702</v>
      </c>
    </row>
    <row r="110" spans="1:18" ht="20" customHeight="1">
      <c r="A110" t="s">
        <v>42</v>
      </c>
      <c r="B110" t="s">
        <v>50</v>
      </c>
      <c r="C110" t="s">
        <v>35</v>
      </c>
      <c r="D110" t="s">
        <v>1031</v>
      </c>
      <c r="E110" t="s">
        <v>35</v>
      </c>
      <c r="F110" t="s">
        <v>331</v>
      </c>
      <c r="G110" t="s">
        <v>1333</v>
      </c>
      <c r="H110" t="s">
        <v>44</v>
      </c>
      <c r="I110" t="s">
        <v>44</v>
      </c>
      <c r="J110" t="s">
        <v>44</v>
      </c>
      <c r="K110" t="s">
        <v>44</v>
      </c>
      <c r="L110" t="s">
        <v>1334</v>
      </c>
      <c r="M110" t="s">
        <v>1335</v>
      </c>
      <c r="N110" t="s">
        <v>993</v>
      </c>
      <c r="O110" t="s">
        <v>132</v>
      </c>
      <c r="P110" t="s">
        <v>68</v>
      </c>
      <c r="Q110" t="s">
        <v>1004</v>
      </c>
      <c r="R110" t="s">
        <v>884</v>
      </c>
    </row>
    <row r="111" spans="1:18" ht="20" customHeight="1">
      <c r="A111" t="s">
        <v>42</v>
      </c>
      <c r="B111" t="s">
        <v>50</v>
      </c>
      <c r="C111" t="s">
        <v>35</v>
      </c>
      <c r="D111" t="s">
        <v>1031</v>
      </c>
      <c r="E111" t="s">
        <v>35</v>
      </c>
      <c r="F111" t="s">
        <v>331</v>
      </c>
      <c r="G111" t="s">
        <v>1333</v>
      </c>
      <c r="H111" t="s">
        <v>44</v>
      </c>
      <c r="I111" t="s">
        <v>44</v>
      </c>
      <c r="J111" t="s">
        <v>44</v>
      </c>
      <c r="K111" t="s">
        <v>44</v>
      </c>
      <c r="L111" t="s">
        <v>1334</v>
      </c>
      <c r="M111" t="s">
        <v>1336</v>
      </c>
      <c r="N111" t="s">
        <v>889</v>
      </c>
      <c r="O111" t="s">
        <v>132</v>
      </c>
      <c r="P111" t="s">
        <v>68</v>
      </c>
      <c r="Q111" t="s">
        <v>1004</v>
      </c>
      <c r="R111" t="s">
        <v>884</v>
      </c>
    </row>
    <row r="112" spans="1:18" ht="20" customHeight="1">
      <c r="A112" t="s">
        <v>42</v>
      </c>
      <c r="B112" t="s">
        <v>50</v>
      </c>
      <c r="C112" t="s">
        <v>35</v>
      </c>
      <c r="D112" t="s">
        <v>1031</v>
      </c>
      <c r="E112" t="s">
        <v>35</v>
      </c>
      <c r="F112" t="s">
        <v>424</v>
      </c>
      <c r="G112" t="s">
        <v>1337</v>
      </c>
      <c r="H112" t="s">
        <v>44</v>
      </c>
      <c r="I112" t="s">
        <v>1028</v>
      </c>
      <c r="J112" t="s">
        <v>1028</v>
      </c>
      <c r="K112" t="s">
        <v>1028</v>
      </c>
      <c r="L112" t="s">
        <v>1338</v>
      </c>
      <c r="M112" t="s">
        <v>1339</v>
      </c>
      <c r="N112" t="s">
        <v>891</v>
      </c>
      <c r="O112" t="s">
        <v>48</v>
      </c>
      <c r="P112" t="s">
        <v>49</v>
      </c>
      <c r="Q112" t="s">
        <v>1004</v>
      </c>
      <c r="R112" t="s">
        <v>892</v>
      </c>
    </row>
    <row r="113" spans="1:18" ht="20" customHeight="1">
      <c r="A113" t="s">
        <v>42</v>
      </c>
      <c r="B113" t="s">
        <v>294</v>
      </c>
      <c r="D113" t="s">
        <v>1031</v>
      </c>
      <c r="E113" t="s">
        <v>35</v>
      </c>
      <c r="F113" t="s">
        <v>309</v>
      </c>
      <c r="G113" t="s">
        <v>1340</v>
      </c>
      <c r="H113" t="s">
        <v>44</v>
      </c>
      <c r="I113" t="s">
        <v>44</v>
      </c>
      <c r="J113" t="s">
        <v>44</v>
      </c>
      <c r="K113" t="s">
        <v>1028</v>
      </c>
      <c r="L113" t="s">
        <v>1341</v>
      </c>
      <c r="M113" t="s">
        <v>1342</v>
      </c>
      <c r="N113" t="s">
        <v>995</v>
      </c>
      <c r="O113" t="s">
        <v>36</v>
      </c>
      <c r="P113" t="s">
        <v>37</v>
      </c>
      <c r="Q113" t="s">
        <v>1005</v>
      </c>
      <c r="R113" t="s">
        <v>996</v>
      </c>
    </row>
    <row r="114" spans="1:18" ht="20" customHeight="1">
      <c r="A114" t="s">
        <v>42</v>
      </c>
      <c r="B114" t="s">
        <v>127</v>
      </c>
      <c r="D114" t="s">
        <v>1031</v>
      </c>
      <c r="E114" t="s">
        <v>35</v>
      </c>
      <c r="F114" t="s">
        <v>897</v>
      </c>
      <c r="G114" t="s">
        <v>1343</v>
      </c>
      <c r="H114" t="s">
        <v>44</v>
      </c>
      <c r="I114" t="s">
        <v>1028</v>
      </c>
      <c r="J114" t="s">
        <v>1028</v>
      </c>
      <c r="K114" t="s">
        <v>1028</v>
      </c>
      <c r="L114" t="s">
        <v>1344</v>
      </c>
      <c r="M114" t="s">
        <v>1345</v>
      </c>
      <c r="N114" t="s">
        <v>894</v>
      </c>
      <c r="O114" t="s">
        <v>48</v>
      </c>
      <c r="P114" t="s">
        <v>69</v>
      </c>
      <c r="Q114" t="s">
        <v>1004</v>
      </c>
      <c r="R114" t="s">
        <v>895</v>
      </c>
    </row>
    <row r="115" spans="1:18" ht="20" customHeight="1">
      <c r="A115" t="s">
        <v>42</v>
      </c>
      <c r="B115" t="s">
        <v>50</v>
      </c>
      <c r="C115" t="s">
        <v>63</v>
      </c>
      <c r="D115" t="s">
        <v>1031</v>
      </c>
      <c r="E115" t="s">
        <v>35</v>
      </c>
      <c r="F115" t="s">
        <v>668</v>
      </c>
      <c r="G115" t="s">
        <v>1346</v>
      </c>
      <c r="H115" t="s">
        <v>44</v>
      </c>
      <c r="I115" t="s">
        <v>1028</v>
      </c>
      <c r="J115" t="s">
        <v>1028</v>
      </c>
      <c r="K115" t="s">
        <v>1028</v>
      </c>
      <c r="L115" t="s">
        <v>1347</v>
      </c>
      <c r="M115" t="s">
        <v>1348</v>
      </c>
      <c r="N115" t="s">
        <v>998</v>
      </c>
      <c r="O115" t="s">
        <v>48</v>
      </c>
      <c r="P115" t="s">
        <v>49</v>
      </c>
      <c r="Q115" t="s">
        <v>1004</v>
      </c>
      <c r="R115" t="s">
        <v>999</v>
      </c>
    </row>
    <row r="116" spans="1:18" ht="20" customHeight="1">
      <c r="A116" t="s">
        <v>42</v>
      </c>
      <c r="B116" t="s">
        <v>80</v>
      </c>
      <c r="C116" t="s">
        <v>175</v>
      </c>
      <c r="D116" t="s">
        <v>1031</v>
      </c>
      <c r="E116" t="s">
        <v>35</v>
      </c>
      <c r="F116" t="s">
        <v>707</v>
      </c>
      <c r="G116" t="s">
        <v>1349</v>
      </c>
      <c r="H116" t="s">
        <v>44</v>
      </c>
      <c r="I116" t="s">
        <v>1028</v>
      </c>
      <c r="J116" t="s">
        <v>1028</v>
      </c>
      <c r="K116" t="s">
        <v>1028</v>
      </c>
      <c r="L116" t="s">
        <v>1350</v>
      </c>
      <c r="M116" t="s">
        <v>1351</v>
      </c>
      <c r="N116" t="s">
        <v>705</v>
      </c>
      <c r="O116" t="s">
        <v>48</v>
      </c>
      <c r="P116" t="s">
        <v>49</v>
      </c>
      <c r="Q116" t="s">
        <v>1004</v>
      </c>
      <c r="R116" t="s">
        <v>461</v>
      </c>
    </row>
    <row r="117" spans="1:18" ht="20" customHeight="1">
      <c r="A117" t="s">
        <v>42</v>
      </c>
      <c r="B117" t="s">
        <v>38</v>
      </c>
      <c r="D117" t="s">
        <v>1031</v>
      </c>
      <c r="E117" t="s">
        <v>35</v>
      </c>
      <c r="F117" t="s">
        <v>711</v>
      </c>
      <c r="G117" t="s">
        <v>1352</v>
      </c>
      <c r="H117" t="s">
        <v>44</v>
      </c>
      <c r="I117" t="s">
        <v>44</v>
      </c>
      <c r="J117" t="s">
        <v>44</v>
      </c>
      <c r="K117" t="s">
        <v>1028</v>
      </c>
      <c r="L117" t="s">
        <v>1353</v>
      </c>
      <c r="M117" t="s">
        <v>1354</v>
      </c>
      <c r="N117" t="s">
        <v>708</v>
      </c>
      <c r="O117" t="s">
        <v>36</v>
      </c>
      <c r="P117" t="s">
        <v>37</v>
      </c>
      <c r="Q117" t="s">
        <v>1004</v>
      </c>
      <c r="R117" t="s">
        <v>709</v>
      </c>
    </row>
    <row r="118" spans="1:18" ht="20" customHeight="1">
      <c r="A118" t="s">
        <v>42</v>
      </c>
      <c r="B118" t="s">
        <v>80</v>
      </c>
      <c r="D118" t="s">
        <v>1031</v>
      </c>
      <c r="E118" t="s">
        <v>35</v>
      </c>
      <c r="F118" t="s">
        <v>714</v>
      </c>
      <c r="G118" t="s">
        <v>1292</v>
      </c>
      <c r="H118" t="s">
        <v>44</v>
      </c>
      <c r="I118" t="s">
        <v>44</v>
      </c>
      <c r="J118" t="s">
        <v>44</v>
      </c>
      <c r="K118" t="s">
        <v>1028</v>
      </c>
      <c r="L118" t="s">
        <v>1293</v>
      </c>
      <c r="M118" t="s">
        <v>1355</v>
      </c>
      <c r="N118" t="s">
        <v>712</v>
      </c>
      <c r="O118" t="s">
        <v>36</v>
      </c>
      <c r="P118" t="s">
        <v>37</v>
      </c>
      <c r="Q118" t="s">
        <v>1004</v>
      </c>
      <c r="R118" t="s">
        <v>608</v>
      </c>
    </row>
    <row r="119" spans="1:18" ht="20" customHeight="1">
      <c r="A119" t="s">
        <v>42</v>
      </c>
      <c r="B119" t="s">
        <v>289</v>
      </c>
      <c r="D119" t="s">
        <v>1031</v>
      </c>
      <c r="E119" t="s">
        <v>35</v>
      </c>
      <c r="F119" t="s">
        <v>901</v>
      </c>
      <c r="G119" t="s">
        <v>1356</v>
      </c>
      <c r="H119" t="s">
        <v>44</v>
      </c>
      <c r="I119" t="s">
        <v>44</v>
      </c>
      <c r="J119" t="s">
        <v>44</v>
      </c>
      <c r="K119" t="s">
        <v>44</v>
      </c>
      <c r="L119" t="s">
        <v>1357</v>
      </c>
      <c r="M119" t="s">
        <v>1358</v>
      </c>
      <c r="N119" t="s">
        <v>898</v>
      </c>
      <c r="O119" t="s">
        <v>132</v>
      </c>
      <c r="P119" t="s">
        <v>68</v>
      </c>
      <c r="Q119" t="s">
        <v>1004</v>
      </c>
      <c r="R119" t="s">
        <v>899</v>
      </c>
    </row>
    <row r="120" spans="1:18" ht="20" customHeight="1">
      <c r="A120" t="s">
        <v>42</v>
      </c>
      <c r="B120" t="s">
        <v>80</v>
      </c>
      <c r="D120" t="s">
        <v>1031</v>
      </c>
      <c r="E120" t="s">
        <v>35</v>
      </c>
      <c r="F120" t="s">
        <v>718</v>
      </c>
      <c r="G120" t="s">
        <v>1359</v>
      </c>
      <c r="H120" t="s">
        <v>44</v>
      </c>
      <c r="I120" t="s">
        <v>1028</v>
      </c>
      <c r="J120" t="s">
        <v>1028</v>
      </c>
      <c r="K120" t="s">
        <v>1028</v>
      </c>
      <c r="L120" t="s">
        <v>1360</v>
      </c>
      <c r="M120" t="s">
        <v>1361</v>
      </c>
      <c r="N120" t="s">
        <v>715</v>
      </c>
      <c r="O120" t="s">
        <v>48</v>
      </c>
      <c r="P120" t="s">
        <v>49</v>
      </c>
      <c r="Q120" t="s">
        <v>1004</v>
      </c>
      <c r="R120" t="s">
        <v>716</v>
      </c>
    </row>
    <row r="121" spans="1:18" ht="20" customHeight="1">
      <c r="A121" t="s">
        <v>42</v>
      </c>
      <c r="B121" t="s">
        <v>299</v>
      </c>
      <c r="D121" t="s">
        <v>1031</v>
      </c>
      <c r="E121" t="s">
        <v>35</v>
      </c>
      <c r="F121" t="s">
        <v>331</v>
      </c>
      <c r="G121" t="s">
        <v>1362</v>
      </c>
      <c r="H121" t="s">
        <v>44</v>
      </c>
      <c r="I121" t="s">
        <v>44</v>
      </c>
      <c r="J121" t="s">
        <v>44</v>
      </c>
      <c r="K121" t="s">
        <v>44</v>
      </c>
      <c r="L121" t="s">
        <v>1363</v>
      </c>
      <c r="M121" t="s">
        <v>1364</v>
      </c>
      <c r="N121" t="s">
        <v>902</v>
      </c>
      <c r="O121" t="s">
        <v>132</v>
      </c>
      <c r="P121" t="s">
        <v>68</v>
      </c>
      <c r="Q121" t="s">
        <v>1005</v>
      </c>
      <c r="R121" t="s">
        <v>724</v>
      </c>
    </row>
    <row r="122" spans="1:18" ht="20" customHeight="1">
      <c r="A122" t="s">
        <v>42</v>
      </c>
      <c r="B122" t="s">
        <v>75</v>
      </c>
      <c r="C122" t="s">
        <v>35</v>
      </c>
      <c r="D122" t="s">
        <v>1031</v>
      </c>
      <c r="E122" t="s">
        <v>35</v>
      </c>
      <c r="F122" t="s">
        <v>722</v>
      </c>
      <c r="G122" t="s">
        <v>1365</v>
      </c>
      <c r="H122" t="s">
        <v>44</v>
      </c>
      <c r="I122" t="s">
        <v>1028</v>
      </c>
      <c r="J122" t="s">
        <v>1028</v>
      </c>
      <c r="K122" t="s">
        <v>1028</v>
      </c>
      <c r="L122" t="s">
        <v>1366</v>
      </c>
      <c r="M122" t="s">
        <v>1367</v>
      </c>
      <c r="N122" t="s">
        <v>719</v>
      </c>
      <c r="O122" t="s">
        <v>48</v>
      </c>
      <c r="P122" t="s">
        <v>49</v>
      </c>
      <c r="Q122" t="s">
        <v>1004</v>
      </c>
      <c r="R122" t="s">
        <v>720</v>
      </c>
    </row>
    <row r="123" spans="1:18" ht="20" customHeight="1">
      <c r="A123" t="s">
        <v>42</v>
      </c>
      <c r="B123" t="s">
        <v>80</v>
      </c>
      <c r="D123" t="s">
        <v>1031</v>
      </c>
      <c r="E123" t="s">
        <v>35</v>
      </c>
      <c r="F123" t="s">
        <v>948</v>
      </c>
      <c r="G123" t="s">
        <v>1368</v>
      </c>
      <c r="H123" t="s">
        <v>44</v>
      </c>
      <c r="I123" t="s">
        <v>44</v>
      </c>
      <c r="J123" t="s">
        <v>44</v>
      </c>
      <c r="K123" t="s">
        <v>1028</v>
      </c>
      <c r="L123" t="s">
        <v>1369</v>
      </c>
      <c r="M123" t="s">
        <v>1370</v>
      </c>
      <c r="N123" t="s">
        <v>946</v>
      </c>
      <c r="O123" t="s">
        <v>142</v>
      </c>
      <c r="P123" t="s">
        <v>69</v>
      </c>
      <c r="Q123" t="s">
        <v>1004</v>
      </c>
      <c r="R123" t="s">
        <v>133</v>
      </c>
    </row>
    <row r="124" spans="1:18" ht="20" customHeight="1">
      <c r="A124" t="s">
        <v>42</v>
      </c>
      <c r="B124" t="s">
        <v>324</v>
      </c>
      <c r="C124" t="s">
        <v>35</v>
      </c>
      <c r="D124" t="s">
        <v>1031</v>
      </c>
      <c r="E124" t="s">
        <v>35</v>
      </c>
      <c r="F124" t="s">
        <v>327</v>
      </c>
      <c r="G124" t="s">
        <v>1371</v>
      </c>
      <c r="H124" t="s">
        <v>44</v>
      </c>
      <c r="I124" t="s">
        <v>1028</v>
      </c>
      <c r="J124" t="s">
        <v>1028</v>
      </c>
      <c r="K124" t="s">
        <v>1028</v>
      </c>
      <c r="L124" t="s">
        <v>1372</v>
      </c>
      <c r="M124" t="s">
        <v>1373</v>
      </c>
      <c r="N124" t="s">
        <v>323</v>
      </c>
      <c r="O124" t="s">
        <v>48</v>
      </c>
      <c r="P124" t="s">
        <v>49</v>
      </c>
      <c r="Q124" t="s">
        <v>1005</v>
      </c>
      <c r="R124" t="s">
        <v>325</v>
      </c>
    </row>
    <row r="125" spans="1:18" ht="20" customHeight="1">
      <c r="A125" t="s">
        <v>42</v>
      </c>
      <c r="B125" t="s">
        <v>234</v>
      </c>
      <c r="D125" t="s">
        <v>1031</v>
      </c>
      <c r="E125" t="s">
        <v>35</v>
      </c>
      <c r="F125" t="s">
        <v>714</v>
      </c>
      <c r="G125" t="s">
        <v>1296</v>
      </c>
      <c r="H125" t="s">
        <v>44</v>
      </c>
      <c r="I125" t="s">
        <v>44</v>
      </c>
      <c r="J125" t="s">
        <v>44</v>
      </c>
      <c r="K125" t="s">
        <v>1028</v>
      </c>
      <c r="L125" t="s">
        <v>1297</v>
      </c>
      <c r="M125" t="s">
        <v>1374</v>
      </c>
      <c r="N125" t="s">
        <v>949</v>
      </c>
      <c r="O125" t="s">
        <v>36</v>
      </c>
      <c r="P125" t="s">
        <v>37</v>
      </c>
      <c r="Q125" t="s">
        <v>1004</v>
      </c>
      <c r="R125" t="s">
        <v>235</v>
      </c>
    </row>
    <row r="126" spans="1:18" ht="20" customHeight="1">
      <c r="A126" t="s">
        <v>42</v>
      </c>
      <c r="B126" t="s">
        <v>38</v>
      </c>
      <c r="D126" t="s">
        <v>1031</v>
      </c>
      <c r="E126" t="s">
        <v>35</v>
      </c>
      <c r="F126" t="s">
        <v>244</v>
      </c>
      <c r="G126" t="s">
        <v>1375</v>
      </c>
      <c r="H126" t="s">
        <v>44</v>
      </c>
      <c r="I126" t="s">
        <v>44</v>
      </c>
      <c r="J126" t="s">
        <v>44</v>
      </c>
      <c r="K126" t="s">
        <v>1028</v>
      </c>
      <c r="L126" t="s">
        <v>1376</v>
      </c>
      <c r="M126" t="s">
        <v>1377</v>
      </c>
      <c r="N126" t="s">
        <v>242</v>
      </c>
      <c r="O126" t="s">
        <v>68</v>
      </c>
      <c r="P126" t="s">
        <v>49</v>
      </c>
      <c r="Q126" t="s">
        <v>1006</v>
      </c>
      <c r="R126" t="s">
        <v>151</v>
      </c>
    </row>
    <row r="127" spans="1:18" ht="20" customHeight="1">
      <c r="A127" t="s">
        <v>42</v>
      </c>
      <c r="B127" t="s">
        <v>299</v>
      </c>
      <c r="C127" t="s">
        <v>35</v>
      </c>
      <c r="D127" t="s">
        <v>1031</v>
      </c>
      <c r="E127" t="s">
        <v>35</v>
      </c>
      <c r="F127" t="s">
        <v>726</v>
      </c>
      <c r="G127" t="s">
        <v>1362</v>
      </c>
      <c r="H127" t="s">
        <v>44</v>
      </c>
      <c r="I127" t="s">
        <v>1028</v>
      </c>
      <c r="J127" t="s">
        <v>1028</v>
      </c>
      <c r="K127" t="s">
        <v>1028</v>
      </c>
      <c r="L127" t="s">
        <v>1363</v>
      </c>
      <c r="M127" t="s">
        <v>1378</v>
      </c>
      <c r="N127" t="s">
        <v>723</v>
      </c>
      <c r="O127" t="s">
        <v>48</v>
      </c>
      <c r="P127" t="s">
        <v>49</v>
      </c>
      <c r="Q127" t="s">
        <v>1005</v>
      </c>
      <c r="R127" t="s">
        <v>724</v>
      </c>
    </row>
    <row r="128" spans="1:18" ht="20" customHeight="1">
      <c r="A128" t="s">
        <v>42</v>
      </c>
      <c r="B128" t="s">
        <v>50</v>
      </c>
      <c r="C128" t="s">
        <v>35</v>
      </c>
      <c r="D128" t="s">
        <v>1031</v>
      </c>
      <c r="E128" t="s">
        <v>35</v>
      </c>
      <c r="F128" t="s">
        <v>906</v>
      </c>
      <c r="G128" t="s">
        <v>1337</v>
      </c>
      <c r="H128" t="s">
        <v>44</v>
      </c>
      <c r="I128" t="s">
        <v>1028</v>
      </c>
      <c r="J128" t="s">
        <v>1028</v>
      </c>
      <c r="K128" t="s">
        <v>1028</v>
      </c>
      <c r="L128" t="s">
        <v>1338</v>
      </c>
      <c r="M128" t="s">
        <v>1379</v>
      </c>
      <c r="N128" t="s">
        <v>904</v>
      </c>
      <c r="O128" t="s">
        <v>48</v>
      </c>
      <c r="P128" t="s">
        <v>49</v>
      </c>
      <c r="Q128" t="s">
        <v>1004</v>
      </c>
      <c r="R128" t="s">
        <v>892</v>
      </c>
    </row>
    <row r="129" spans="1:18" ht="20" customHeight="1">
      <c r="A129" t="s">
        <v>42</v>
      </c>
      <c r="B129" t="s">
        <v>50</v>
      </c>
      <c r="D129" t="s">
        <v>1031</v>
      </c>
      <c r="E129" t="s">
        <v>35</v>
      </c>
      <c r="F129" t="s">
        <v>909</v>
      </c>
      <c r="G129" t="s">
        <v>1380</v>
      </c>
      <c r="H129" t="s">
        <v>44</v>
      </c>
      <c r="I129" t="s">
        <v>44</v>
      </c>
      <c r="J129" t="s">
        <v>44</v>
      </c>
      <c r="K129" t="s">
        <v>44</v>
      </c>
      <c r="L129" t="s">
        <v>1381</v>
      </c>
      <c r="M129" t="s">
        <v>1382</v>
      </c>
      <c r="N129" t="s">
        <v>907</v>
      </c>
      <c r="O129" t="s">
        <v>132</v>
      </c>
      <c r="P129" t="s">
        <v>68</v>
      </c>
      <c r="Q129" t="s">
        <v>1004</v>
      </c>
      <c r="R129" t="s">
        <v>414</v>
      </c>
    </row>
    <row r="130" spans="1:18" ht="20" customHeight="1">
      <c r="A130" t="s">
        <v>42</v>
      </c>
      <c r="B130" t="s">
        <v>195</v>
      </c>
      <c r="C130" t="s">
        <v>35</v>
      </c>
      <c r="D130" t="s">
        <v>1031</v>
      </c>
      <c r="E130" t="s">
        <v>35</v>
      </c>
      <c r="F130" t="s">
        <v>349</v>
      </c>
      <c r="G130" t="s">
        <v>1383</v>
      </c>
      <c r="H130" t="s">
        <v>44</v>
      </c>
      <c r="I130" t="s">
        <v>1028</v>
      </c>
      <c r="J130" t="s">
        <v>1028</v>
      </c>
      <c r="K130" t="s">
        <v>1028</v>
      </c>
      <c r="L130" t="s">
        <v>1384</v>
      </c>
      <c r="M130" t="s">
        <v>1385</v>
      </c>
      <c r="N130" t="s">
        <v>346</v>
      </c>
      <c r="O130" t="s">
        <v>48</v>
      </c>
      <c r="P130" t="s">
        <v>49</v>
      </c>
      <c r="Q130" t="s">
        <v>1006</v>
      </c>
      <c r="R130" t="s">
        <v>347</v>
      </c>
    </row>
    <row r="131" spans="1:18" ht="20" customHeight="1">
      <c r="A131" t="s">
        <v>42</v>
      </c>
      <c r="B131" t="s">
        <v>50</v>
      </c>
      <c r="D131" t="s">
        <v>1031</v>
      </c>
      <c r="E131" t="s">
        <v>35</v>
      </c>
      <c r="F131" t="s">
        <v>901</v>
      </c>
      <c r="G131" t="s">
        <v>1386</v>
      </c>
      <c r="H131" t="s">
        <v>44</v>
      </c>
      <c r="I131" t="s">
        <v>44</v>
      </c>
      <c r="J131" t="s">
        <v>44</v>
      </c>
      <c r="K131" t="s">
        <v>44</v>
      </c>
      <c r="L131" t="s">
        <v>1387</v>
      </c>
      <c r="M131" t="s">
        <v>1388</v>
      </c>
      <c r="N131" t="s">
        <v>1001</v>
      </c>
      <c r="O131" t="s">
        <v>132</v>
      </c>
      <c r="P131" t="s">
        <v>68</v>
      </c>
      <c r="Q131" t="s">
        <v>1004</v>
      </c>
      <c r="R131" t="s">
        <v>483</v>
      </c>
    </row>
    <row r="132" spans="1:18" ht="20" customHeight="1">
      <c r="A132" t="s">
        <v>42</v>
      </c>
      <c r="B132" t="s">
        <v>57</v>
      </c>
      <c r="D132" t="s">
        <v>1031</v>
      </c>
      <c r="E132" t="s">
        <v>35</v>
      </c>
      <c r="F132" t="s">
        <v>60</v>
      </c>
      <c r="G132" t="s">
        <v>1389</v>
      </c>
      <c r="H132" t="s">
        <v>44</v>
      </c>
      <c r="I132" t="s">
        <v>1028</v>
      </c>
      <c r="J132" t="s">
        <v>1028</v>
      </c>
      <c r="K132" t="s">
        <v>1028</v>
      </c>
      <c r="L132" t="s">
        <v>1390</v>
      </c>
      <c r="M132" t="s">
        <v>1391</v>
      </c>
      <c r="N132" t="s">
        <v>55</v>
      </c>
      <c r="O132" t="s">
        <v>48</v>
      </c>
      <c r="P132" t="s">
        <v>49</v>
      </c>
      <c r="Q132" t="s">
        <v>1007</v>
      </c>
      <c r="R132" t="s">
        <v>58</v>
      </c>
    </row>
    <row r="133" spans="1:18" ht="20" customHeight="1">
      <c r="A133" t="s">
        <v>42</v>
      </c>
      <c r="B133" t="s">
        <v>38</v>
      </c>
      <c r="C133" t="s">
        <v>35</v>
      </c>
      <c r="D133" t="s">
        <v>1031</v>
      </c>
      <c r="E133" t="s">
        <v>35</v>
      </c>
      <c r="F133" t="s">
        <v>331</v>
      </c>
      <c r="G133" t="s">
        <v>1392</v>
      </c>
      <c r="H133" t="s">
        <v>44</v>
      </c>
      <c r="I133" t="s">
        <v>44</v>
      </c>
      <c r="J133" t="s">
        <v>44</v>
      </c>
      <c r="K133" t="s">
        <v>44</v>
      </c>
      <c r="L133" t="s">
        <v>1393</v>
      </c>
      <c r="M133" t="s">
        <v>1394</v>
      </c>
      <c r="N133" t="s">
        <v>328</v>
      </c>
      <c r="O133" t="s">
        <v>132</v>
      </c>
      <c r="P133" t="s">
        <v>68</v>
      </c>
      <c r="Q133" t="s">
        <v>1004</v>
      </c>
      <c r="R133" t="s">
        <v>329</v>
      </c>
    </row>
    <row r="134" spans="1:18" ht="20" customHeight="1">
      <c r="A134" t="s">
        <v>42</v>
      </c>
      <c r="B134" t="s">
        <v>80</v>
      </c>
      <c r="C134" t="s">
        <v>35</v>
      </c>
      <c r="D134" t="s">
        <v>1031</v>
      </c>
      <c r="E134" t="s">
        <v>35</v>
      </c>
      <c r="F134" t="s">
        <v>331</v>
      </c>
      <c r="G134" t="s">
        <v>1059</v>
      </c>
      <c r="H134" t="s">
        <v>44</v>
      </c>
      <c r="I134" t="s">
        <v>44</v>
      </c>
      <c r="J134" t="s">
        <v>44</v>
      </c>
      <c r="K134" t="s">
        <v>44</v>
      </c>
      <c r="L134" t="s">
        <v>1060</v>
      </c>
      <c r="M134" t="s">
        <v>1395</v>
      </c>
      <c r="N134" t="s">
        <v>332</v>
      </c>
      <c r="O134" t="s">
        <v>132</v>
      </c>
      <c r="P134" t="s">
        <v>68</v>
      </c>
      <c r="Q134" t="s">
        <v>1004</v>
      </c>
      <c r="R134" t="s">
        <v>114</v>
      </c>
    </row>
    <row r="135" spans="1:18" ht="20" customHeight="1">
      <c r="A135" t="s">
        <v>42</v>
      </c>
      <c r="B135" t="s">
        <v>359</v>
      </c>
      <c r="D135" t="s">
        <v>1031</v>
      </c>
      <c r="E135" t="s">
        <v>35</v>
      </c>
      <c r="F135" t="s">
        <v>362</v>
      </c>
      <c r="G135" t="s">
        <v>1396</v>
      </c>
      <c r="H135" t="s">
        <v>44</v>
      </c>
      <c r="I135" t="s">
        <v>44</v>
      </c>
      <c r="J135" t="s">
        <v>44</v>
      </c>
      <c r="K135" t="s">
        <v>1028</v>
      </c>
      <c r="L135" t="s">
        <v>1397</v>
      </c>
      <c r="M135" t="s">
        <v>1398</v>
      </c>
      <c r="N135" t="s">
        <v>358</v>
      </c>
      <c r="O135" t="s">
        <v>36</v>
      </c>
      <c r="P135" t="s">
        <v>37</v>
      </c>
      <c r="Q135" t="s">
        <v>1004</v>
      </c>
      <c r="R135" t="s">
        <v>360</v>
      </c>
    </row>
    <row r="136" spans="1:18" ht="20" customHeight="1">
      <c r="A136" t="s">
        <v>42</v>
      </c>
      <c r="B136" t="s">
        <v>38</v>
      </c>
      <c r="D136" t="s">
        <v>1031</v>
      </c>
      <c r="E136" t="s">
        <v>35</v>
      </c>
      <c r="F136" t="s">
        <v>366</v>
      </c>
      <c r="G136" t="s">
        <v>1399</v>
      </c>
      <c r="H136" t="s">
        <v>44</v>
      </c>
      <c r="I136" t="s">
        <v>1028</v>
      </c>
      <c r="J136" t="s">
        <v>1028</v>
      </c>
      <c r="K136" t="s">
        <v>1028</v>
      </c>
      <c r="L136" t="s">
        <v>1400</v>
      </c>
      <c r="M136" t="s">
        <v>1401</v>
      </c>
      <c r="N136" t="s">
        <v>363</v>
      </c>
      <c r="O136" t="s">
        <v>48</v>
      </c>
      <c r="P136" t="s">
        <v>49</v>
      </c>
      <c r="Q136" t="s">
        <v>1004</v>
      </c>
      <c r="R136" t="s">
        <v>364</v>
      </c>
    </row>
    <row r="137" spans="1:18" ht="20" customHeight="1">
      <c r="A137" t="s">
        <v>42</v>
      </c>
      <c r="B137" t="s">
        <v>101</v>
      </c>
      <c r="D137" t="s">
        <v>1031</v>
      </c>
      <c r="E137" t="s">
        <v>35</v>
      </c>
      <c r="F137" t="s">
        <v>370</v>
      </c>
      <c r="G137" t="s">
        <v>1274</v>
      </c>
      <c r="H137" t="s">
        <v>44</v>
      </c>
      <c r="I137" t="s">
        <v>44</v>
      </c>
      <c r="J137" t="s">
        <v>44</v>
      </c>
      <c r="K137" t="s">
        <v>1028</v>
      </c>
      <c r="L137" t="s">
        <v>1275</v>
      </c>
      <c r="M137" t="s">
        <v>1402</v>
      </c>
      <c r="N137" t="s">
        <v>367</v>
      </c>
      <c r="O137" t="s">
        <v>36</v>
      </c>
      <c r="P137" t="s">
        <v>37</v>
      </c>
      <c r="Q137" t="s">
        <v>1004</v>
      </c>
      <c r="R137" t="s">
        <v>368</v>
      </c>
    </row>
    <row r="138" spans="1:18" ht="20" customHeight="1">
      <c r="A138" t="s">
        <v>42</v>
      </c>
      <c r="B138" t="s">
        <v>101</v>
      </c>
      <c r="C138" t="s">
        <v>35</v>
      </c>
      <c r="D138" t="s">
        <v>1031</v>
      </c>
      <c r="E138" t="s">
        <v>35</v>
      </c>
      <c r="F138" t="s">
        <v>373</v>
      </c>
      <c r="G138" t="s">
        <v>1274</v>
      </c>
      <c r="H138" t="s">
        <v>44</v>
      </c>
      <c r="I138" t="s">
        <v>44</v>
      </c>
      <c r="J138" t="s">
        <v>44</v>
      </c>
      <c r="K138" t="s">
        <v>1028</v>
      </c>
      <c r="L138" t="s">
        <v>1275</v>
      </c>
      <c r="M138" t="s">
        <v>1403</v>
      </c>
      <c r="N138" t="s">
        <v>371</v>
      </c>
      <c r="O138" t="s">
        <v>36</v>
      </c>
      <c r="P138" t="s">
        <v>37</v>
      </c>
      <c r="Q138" t="s">
        <v>1004</v>
      </c>
      <c r="R138" t="s">
        <v>368</v>
      </c>
    </row>
    <row r="139" spans="1:18" ht="20" customHeight="1">
      <c r="A139" t="s">
        <v>42</v>
      </c>
      <c r="B139" t="s">
        <v>375</v>
      </c>
      <c r="D139" t="s">
        <v>1031</v>
      </c>
      <c r="E139" t="s">
        <v>35</v>
      </c>
      <c r="F139" t="s">
        <v>378</v>
      </c>
      <c r="G139" t="s">
        <v>1404</v>
      </c>
      <c r="H139" t="s">
        <v>44</v>
      </c>
      <c r="I139" t="s">
        <v>1028</v>
      </c>
      <c r="J139" t="s">
        <v>1028</v>
      </c>
      <c r="K139" t="s">
        <v>1028</v>
      </c>
      <c r="L139" t="s">
        <v>1405</v>
      </c>
      <c r="M139" t="s">
        <v>1406</v>
      </c>
      <c r="N139" t="s">
        <v>374</v>
      </c>
      <c r="O139" t="s">
        <v>48</v>
      </c>
      <c r="P139" t="s">
        <v>49</v>
      </c>
      <c r="Q139" t="s">
        <v>1004</v>
      </c>
      <c r="R139" t="s">
        <v>376</v>
      </c>
    </row>
    <row r="140" spans="1:18" ht="20" customHeight="1">
      <c r="A140" t="s">
        <v>42</v>
      </c>
      <c r="B140" t="s">
        <v>101</v>
      </c>
      <c r="C140" t="s">
        <v>35</v>
      </c>
      <c r="D140" t="s">
        <v>1031</v>
      </c>
      <c r="E140" t="s">
        <v>35</v>
      </c>
      <c r="F140" t="s">
        <v>742</v>
      </c>
      <c r="G140" t="s">
        <v>1407</v>
      </c>
      <c r="H140" t="s">
        <v>44</v>
      </c>
      <c r="I140" t="s">
        <v>1028</v>
      </c>
      <c r="J140" t="s">
        <v>1028</v>
      </c>
      <c r="K140" t="s">
        <v>1028</v>
      </c>
      <c r="L140" t="s">
        <v>1408</v>
      </c>
      <c r="M140" t="s">
        <v>1409</v>
      </c>
      <c r="N140" t="s">
        <v>740</v>
      </c>
      <c r="O140" t="s">
        <v>48</v>
      </c>
      <c r="P140" t="s">
        <v>49</v>
      </c>
      <c r="Q140" t="s">
        <v>1004</v>
      </c>
      <c r="R140" t="s">
        <v>393</v>
      </c>
    </row>
    <row r="141" spans="1:18" ht="20" customHeight="1">
      <c r="A141" t="s">
        <v>42</v>
      </c>
      <c r="B141" t="s">
        <v>80</v>
      </c>
      <c r="C141" t="s">
        <v>35</v>
      </c>
      <c r="D141" t="s">
        <v>1031</v>
      </c>
      <c r="E141" t="s">
        <v>35</v>
      </c>
      <c r="F141" t="s">
        <v>381</v>
      </c>
      <c r="G141" t="s">
        <v>1059</v>
      </c>
      <c r="H141" t="s">
        <v>44</v>
      </c>
      <c r="I141" t="s">
        <v>1028</v>
      </c>
      <c r="J141" t="s">
        <v>1028</v>
      </c>
      <c r="K141" t="s">
        <v>1028</v>
      </c>
      <c r="L141" t="s">
        <v>1060</v>
      </c>
      <c r="M141" t="s">
        <v>1410</v>
      </c>
      <c r="N141" t="s">
        <v>379</v>
      </c>
      <c r="O141" t="s">
        <v>48</v>
      </c>
      <c r="P141" t="s">
        <v>49</v>
      </c>
      <c r="Q141" t="s">
        <v>1004</v>
      </c>
      <c r="R141" t="s">
        <v>114</v>
      </c>
    </row>
    <row r="142" spans="1:18" ht="20" customHeight="1">
      <c r="A142" t="s">
        <v>42</v>
      </c>
      <c r="B142" t="s">
        <v>50</v>
      </c>
      <c r="D142" t="s">
        <v>1031</v>
      </c>
      <c r="E142" t="s">
        <v>35</v>
      </c>
      <c r="F142" t="s">
        <v>531</v>
      </c>
      <c r="G142" t="s">
        <v>1411</v>
      </c>
      <c r="H142" t="s">
        <v>44</v>
      </c>
      <c r="I142" t="s">
        <v>44</v>
      </c>
      <c r="J142" t="s">
        <v>44</v>
      </c>
      <c r="K142" t="s">
        <v>44</v>
      </c>
      <c r="L142" t="s">
        <v>1412</v>
      </c>
      <c r="M142" t="s">
        <v>1413</v>
      </c>
      <c r="N142" t="s">
        <v>743</v>
      </c>
      <c r="O142" t="s">
        <v>132</v>
      </c>
      <c r="P142" t="s">
        <v>68</v>
      </c>
      <c r="Q142" t="s">
        <v>1004</v>
      </c>
      <c r="R142" t="s">
        <v>744</v>
      </c>
    </row>
    <row r="143" spans="1:18" ht="20" customHeight="1">
      <c r="A143" t="s">
        <v>42</v>
      </c>
      <c r="B143" t="s">
        <v>50</v>
      </c>
      <c r="D143" t="s">
        <v>1031</v>
      </c>
      <c r="E143" t="s">
        <v>35</v>
      </c>
      <c r="F143" t="s">
        <v>531</v>
      </c>
      <c r="G143" t="s">
        <v>1414</v>
      </c>
      <c r="H143" t="s">
        <v>44</v>
      </c>
      <c r="I143" t="s">
        <v>44</v>
      </c>
      <c r="J143" t="s">
        <v>44</v>
      </c>
      <c r="K143" t="s">
        <v>44</v>
      </c>
      <c r="L143" t="s">
        <v>1415</v>
      </c>
      <c r="M143" t="s">
        <v>1416</v>
      </c>
      <c r="N143" t="s">
        <v>746</v>
      </c>
      <c r="O143" t="s">
        <v>132</v>
      </c>
      <c r="P143" t="s">
        <v>68</v>
      </c>
      <c r="Q143" t="s">
        <v>1004</v>
      </c>
      <c r="R143" t="s">
        <v>744</v>
      </c>
    </row>
    <row r="144" spans="1:18" ht="20" customHeight="1">
      <c r="A144" t="s">
        <v>42</v>
      </c>
      <c r="B144" t="s">
        <v>50</v>
      </c>
      <c r="D144" t="s">
        <v>1031</v>
      </c>
      <c r="E144" t="s">
        <v>35</v>
      </c>
      <c r="F144" t="s">
        <v>531</v>
      </c>
      <c r="G144" t="s">
        <v>1414</v>
      </c>
      <c r="H144" t="s">
        <v>44</v>
      </c>
      <c r="I144" t="s">
        <v>44</v>
      </c>
      <c r="J144" t="s">
        <v>44</v>
      </c>
      <c r="K144" t="s">
        <v>44</v>
      </c>
      <c r="L144" t="s">
        <v>1415</v>
      </c>
      <c r="M144" t="s">
        <v>1416</v>
      </c>
      <c r="N144" t="s">
        <v>748</v>
      </c>
      <c r="O144" t="s">
        <v>132</v>
      </c>
      <c r="P144" t="s">
        <v>68</v>
      </c>
      <c r="Q144" t="s">
        <v>1004</v>
      </c>
      <c r="R144" t="s">
        <v>744</v>
      </c>
    </row>
    <row r="145" spans="1:18" ht="20" customHeight="1">
      <c r="A145" t="s">
        <v>42</v>
      </c>
      <c r="B145" t="s">
        <v>359</v>
      </c>
      <c r="C145" t="s">
        <v>35</v>
      </c>
      <c r="D145" t="s">
        <v>1031</v>
      </c>
      <c r="E145" t="s">
        <v>35</v>
      </c>
      <c r="F145" t="s">
        <v>241</v>
      </c>
      <c r="G145" t="s">
        <v>1396</v>
      </c>
      <c r="H145" t="s">
        <v>44</v>
      </c>
      <c r="I145" t="s">
        <v>44</v>
      </c>
      <c r="J145" t="s">
        <v>44</v>
      </c>
      <c r="K145" t="s">
        <v>1028</v>
      </c>
      <c r="L145" t="s">
        <v>1397</v>
      </c>
      <c r="M145" t="s">
        <v>1417</v>
      </c>
      <c r="N145" t="s">
        <v>382</v>
      </c>
      <c r="O145" t="s">
        <v>36</v>
      </c>
      <c r="P145" t="s">
        <v>37</v>
      </c>
      <c r="Q145" t="s">
        <v>1004</v>
      </c>
      <c r="R145" t="s">
        <v>360</v>
      </c>
    </row>
    <row r="146" spans="1:18" ht="20" customHeight="1">
      <c r="A146" t="s">
        <v>42</v>
      </c>
      <c r="B146" t="s">
        <v>359</v>
      </c>
      <c r="D146" t="s">
        <v>1031</v>
      </c>
      <c r="E146" t="s">
        <v>35</v>
      </c>
      <c r="F146" t="s">
        <v>387</v>
      </c>
      <c r="G146" t="s">
        <v>1418</v>
      </c>
      <c r="H146" t="s">
        <v>44</v>
      </c>
      <c r="I146" t="s">
        <v>1028</v>
      </c>
      <c r="J146" t="s">
        <v>1028</v>
      </c>
      <c r="K146" t="s">
        <v>1028</v>
      </c>
      <c r="L146" t="s">
        <v>1419</v>
      </c>
      <c r="M146" t="s">
        <v>1420</v>
      </c>
      <c r="N146" t="s">
        <v>384</v>
      </c>
      <c r="O146" t="s">
        <v>48</v>
      </c>
      <c r="P146" t="s">
        <v>49</v>
      </c>
      <c r="Q146" t="s">
        <v>1218</v>
      </c>
      <c r="R146" t="s">
        <v>385</v>
      </c>
    </row>
    <row r="147" spans="1:18" ht="20" customHeight="1">
      <c r="A147" t="s">
        <v>42</v>
      </c>
      <c r="B147" t="s">
        <v>289</v>
      </c>
      <c r="C147" t="s">
        <v>35</v>
      </c>
      <c r="D147" t="s">
        <v>1031</v>
      </c>
      <c r="E147" t="s">
        <v>35</v>
      </c>
      <c r="F147" t="s">
        <v>916</v>
      </c>
      <c r="G147" t="s">
        <v>1421</v>
      </c>
      <c r="H147" t="s">
        <v>44</v>
      </c>
      <c r="I147" t="s">
        <v>44</v>
      </c>
      <c r="J147" t="s">
        <v>44</v>
      </c>
      <c r="K147" t="s">
        <v>1028</v>
      </c>
      <c r="L147" t="s">
        <v>1422</v>
      </c>
      <c r="M147" t="s">
        <v>1423</v>
      </c>
      <c r="N147" t="s">
        <v>912</v>
      </c>
      <c r="O147" t="s">
        <v>36</v>
      </c>
      <c r="P147" t="s">
        <v>37</v>
      </c>
      <c r="Q147" t="s">
        <v>1005</v>
      </c>
      <c r="R147" t="s">
        <v>913</v>
      </c>
    </row>
    <row r="148" spans="1:18" ht="20" customHeight="1">
      <c r="A148" t="s">
        <v>42</v>
      </c>
      <c r="B148" t="s">
        <v>75</v>
      </c>
      <c r="C148" t="s">
        <v>35</v>
      </c>
      <c r="D148" t="s">
        <v>1031</v>
      </c>
      <c r="E148" t="s">
        <v>35</v>
      </c>
      <c r="F148" t="s">
        <v>391</v>
      </c>
      <c r="G148" t="s">
        <v>1424</v>
      </c>
      <c r="H148" t="s">
        <v>44</v>
      </c>
      <c r="I148" t="s">
        <v>1028</v>
      </c>
      <c r="J148" t="s">
        <v>1028</v>
      </c>
      <c r="K148" t="s">
        <v>1028</v>
      </c>
      <c r="L148" t="s">
        <v>1425</v>
      </c>
      <c r="M148" t="s">
        <v>1426</v>
      </c>
      <c r="N148" t="s">
        <v>388</v>
      </c>
      <c r="O148" t="s">
        <v>48</v>
      </c>
      <c r="P148" t="s">
        <v>49</v>
      </c>
      <c r="Q148" t="s">
        <v>1004</v>
      </c>
      <c r="R148" t="s">
        <v>389</v>
      </c>
    </row>
    <row r="149" spans="1:18" ht="20" customHeight="1">
      <c r="A149" t="s">
        <v>42</v>
      </c>
      <c r="B149" t="s">
        <v>289</v>
      </c>
      <c r="D149" t="s">
        <v>1031</v>
      </c>
      <c r="E149" t="s">
        <v>35</v>
      </c>
      <c r="F149" t="s">
        <v>258</v>
      </c>
      <c r="G149" t="s">
        <v>1427</v>
      </c>
      <c r="H149" t="s">
        <v>44</v>
      </c>
      <c r="I149" t="s">
        <v>44</v>
      </c>
      <c r="J149" t="s">
        <v>44</v>
      </c>
      <c r="K149" t="s">
        <v>44</v>
      </c>
      <c r="L149" t="s">
        <v>1428</v>
      </c>
      <c r="M149" t="s">
        <v>1429</v>
      </c>
      <c r="N149" t="s">
        <v>750</v>
      </c>
      <c r="O149" t="s">
        <v>132</v>
      </c>
      <c r="P149" t="s">
        <v>68</v>
      </c>
      <c r="Q149" t="s">
        <v>1005</v>
      </c>
      <c r="R149" t="s">
        <v>751</v>
      </c>
    </row>
    <row r="150" spans="1:18" ht="20" customHeight="1">
      <c r="A150" t="s">
        <v>42</v>
      </c>
      <c r="B150" t="s">
        <v>101</v>
      </c>
      <c r="D150" t="s">
        <v>1031</v>
      </c>
      <c r="E150" t="s">
        <v>35</v>
      </c>
      <c r="F150" t="s">
        <v>395</v>
      </c>
      <c r="G150" t="s">
        <v>1430</v>
      </c>
      <c r="H150" t="s">
        <v>44</v>
      </c>
      <c r="I150" t="s">
        <v>44</v>
      </c>
      <c r="J150" t="s">
        <v>44</v>
      </c>
      <c r="K150" t="s">
        <v>1028</v>
      </c>
      <c r="L150" t="s">
        <v>1431</v>
      </c>
      <c r="M150" t="s">
        <v>1432</v>
      </c>
      <c r="N150" t="s">
        <v>392</v>
      </c>
      <c r="O150" t="s">
        <v>142</v>
      </c>
      <c r="P150" t="s">
        <v>69</v>
      </c>
      <c r="Q150" t="s">
        <v>1004</v>
      </c>
      <c r="R150" t="s">
        <v>393</v>
      </c>
    </row>
    <row r="151" spans="1:18" ht="20" customHeight="1">
      <c r="A151" t="s">
        <v>42</v>
      </c>
      <c r="B151" t="s">
        <v>50</v>
      </c>
      <c r="C151" t="s">
        <v>35</v>
      </c>
      <c r="D151" t="s">
        <v>1031</v>
      </c>
      <c r="E151" t="s">
        <v>35</v>
      </c>
      <c r="F151" t="s">
        <v>399</v>
      </c>
      <c r="G151" t="s">
        <v>1433</v>
      </c>
      <c r="H151" t="s">
        <v>44</v>
      </c>
      <c r="I151" t="s">
        <v>1028</v>
      </c>
      <c r="J151" t="s">
        <v>1028</v>
      </c>
      <c r="K151" t="s">
        <v>1028</v>
      </c>
      <c r="L151" t="s">
        <v>1434</v>
      </c>
      <c r="M151" t="s">
        <v>1435</v>
      </c>
      <c r="N151" t="s">
        <v>396</v>
      </c>
      <c r="O151" t="s">
        <v>48</v>
      </c>
      <c r="P151" t="s">
        <v>49</v>
      </c>
      <c r="Q151" t="s">
        <v>1004</v>
      </c>
      <c r="R151" t="s">
        <v>397</v>
      </c>
    </row>
    <row r="152" spans="1:18" ht="20" customHeight="1">
      <c r="A152" t="s">
        <v>42</v>
      </c>
      <c r="B152" t="s">
        <v>234</v>
      </c>
      <c r="D152" t="s">
        <v>1031</v>
      </c>
      <c r="E152" t="s">
        <v>35</v>
      </c>
      <c r="F152" t="s">
        <v>919</v>
      </c>
      <c r="G152" t="s">
        <v>1296</v>
      </c>
      <c r="H152" t="s">
        <v>44</v>
      </c>
      <c r="I152" t="s">
        <v>44</v>
      </c>
      <c r="J152" t="s">
        <v>44</v>
      </c>
      <c r="K152" t="s">
        <v>1028</v>
      </c>
      <c r="L152" t="s">
        <v>1297</v>
      </c>
      <c r="M152" t="s">
        <v>919</v>
      </c>
      <c r="N152" t="s">
        <v>917</v>
      </c>
      <c r="O152" t="s">
        <v>36</v>
      </c>
      <c r="P152" t="s">
        <v>37</v>
      </c>
      <c r="Q152" t="s">
        <v>1004</v>
      </c>
      <c r="R152" t="s">
        <v>235</v>
      </c>
    </row>
    <row r="153" spans="1:18" ht="20" customHeight="1">
      <c r="A153" t="s">
        <v>42</v>
      </c>
      <c r="B153" t="s">
        <v>75</v>
      </c>
      <c r="D153" t="s">
        <v>1031</v>
      </c>
      <c r="E153" t="s">
        <v>35</v>
      </c>
      <c r="F153" t="s">
        <v>403</v>
      </c>
      <c r="G153" t="s">
        <v>1436</v>
      </c>
      <c r="H153" t="s">
        <v>44</v>
      </c>
      <c r="I153" t="s">
        <v>1028</v>
      </c>
      <c r="J153" t="s">
        <v>1028</v>
      </c>
      <c r="K153" t="s">
        <v>1028</v>
      </c>
      <c r="L153" t="s">
        <v>1437</v>
      </c>
      <c r="M153" t="s">
        <v>1438</v>
      </c>
      <c r="N153" t="s">
        <v>400</v>
      </c>
      <c r="O153" t="s">
        <v>48</v>
      </c>
      <c r="P153" t="s">
        <v>49</v>
      </c>
      <c r="Q153" t="s">
        <v>1005</v>
      </c>
      <c r="R153" t="s">
        <v>401</v>
      </c>
    </row>
    <row r="154" spans="1:18" ht="20" customHeight="1">
      <c r="A154" t="s">
        <v>42</v>
      </c>
      <c r="B154" t="s">
        <v>57</v>
      </c>
      <c r="C154" t="s">
        <v>35</v>
      </c>
      <c r="D154" t="s">
        <v>1031</v>
      </c>
      <c r="E154" t="s">
        <v>35</v>
      </c>
      <c r="F154" t="s">
        <v>258</v>
      </c>
      <c r="G154" t="s">
        <v>1439</v>
      </c>
      <c r="H154" t="s">
        <v>44</v>
      </c>
      <c r="I154" t="s">
        <v>44</v>
      </c>
      <c r="J154" t="s">
        <v>44</v>
      </c>
      <c r="K154" t="s">
        <v>44</v>
      </c>
      <c r="L154" t="s">
        <v>1440</v>
      </c>
      <c r="M154" t="s">
        <v>1441</v>
      </c>
      <c r="N154" t="s">
        <v>753</v>
      </c>
      <c r="O154" t="s">
        <v>132</v>
      </c>
      <c r="P154" t="s">
        <v>68</v>
      </c>
      <c r="Q154" t="s">
        <v>1004</v>
      </c>
      <c r="R154" t="s">
        <v>411</v>
      </c>
    </row>
    <row r="155" spans="1:18" ht="20" customHeight="1">
      <c r="A155" t="s">
        <v>42</v>
      </c>
      <c r="B155" t="s">
        <v>80</v>
      </c>
      <c r="D155" t="s">
        <v>1031</v>
      </c>
      <c r="E155" t="s">
        <v>35</v>
      </c>
      <c r="F155" t="s">
        <v>258</v>
      </c>
      <c r="G155" t="s">
        <v>1089</v>
      </c>
      <c r="H155" t="s">
        <v>44</v>
      </c>
      <c r="I155" t="s">
        <v>44</v>
      </c>
      <c r="J155" t="s">
        <v>44</v>
      </c>
      <c r="K155" t="s">
        <v>44</v>
      </c>
      <c r="L155" t="s">
        <v>1090</v>
      </c>
      <c r="M155" t="s">
        <v>1442</v>
      </c>
      <c r="N155" t="s">
        <v>256</v>
      </c>
      <c r="O155" t="s">
        <v>132</v>
      </c>
      <c r="P155" t="s">
        <v>68</v>
      </c>
      <c r="Q155" t="s">
        <v>1004</v>
      </c>
      <c r="R155" t="s">
        <v>133</v>
      </c>
    </row>
    <row r="156" spans="1:18" ht="20" customHeight="1">
      <c r="A156" t="s">
        <v>42</v>
      </c>
      <c r="B156" t="s">
        <v>50</v>
      </c>
      <c r="C156" t="s">
        <v>35</v>
      </c>
      <c r="D156" t="s">
        <v>1031</v>
      </c>
      <c r="E156" t="s">
        <v>35</v>
      </c>
      <c r="F156" t="s">
        <v>258</v>
      </c>
      <c r="G156" t="s">
        <v>1443</v>
      </c>
      <c r="H156" t="s">
        <v>44</v>
      </c>
      <c r="I156" t="s">
        <v>44</v>
      </c>
      <c r="J156" t="s">
        <v>44</v>
      </c>
      <c r="K156" t="s">
        <v>44</v>
      </c>
      <c r="L156" t="s">
        <v>1444</v>
      </c>
      <c r="M156" t="s">
        <v>1445</v>
      </c>
      <c r="N156" t="s">
        <v>259</v>
      </c>
      <c r="O156" t="s">
        <v>132</v>
      </c>
      <c r="P156" t="s">
        <v>68</v>
      </c>
      <c r="Q156" t="s">
        <v>1004</v>
      </c>
      <c r="R156" t="s">
        <v>97</v>
      </c>
    </row>
    <row r="157" spans="1:18" ht="20" customHeight="1">
      <c r="A157" t="s">
        <v>42</v>
      </c>
      <c r="B157" t="s">
        <v>229</v>
      </c>
      <c r="D157" t="s">
        <v>1031</v>
      </c>
      <c r="E157" t="s">
        <v>35</v>
      </c>
      <c r="F157" t="s">
        <v>258</v>
      </c>
      <c r="G157" t="s">
        <v>1446</v>
      </c>
      <c r="H157" t="s">
        <v>44</v>
      </c>
      <c r="I157" t="s">
        <v>44</v>
      </c>
      <c r="J157" t="s">
        <v>44</v>
      </c>
      <c r="K157" t="s">
        <v>44</v>
      </c>
      <c r="L157" t="s">
        <v>1447</v>
      </c>
      <c r="M157" t="s">
        <v>1448</v>
      </c>
      <c r="N157" t="s">
        <v>755</v>
      </c>
      <c r="O157" t="s">
        <v>132</v>
      </c>
      <c r="P157" t="s">
        <v>68</v>
      </c>
      <c r="Q157" t="s">
        <v>1004</v>
      </c>
      <c r="R157" t="s">
        <v>756</v>
      </c>
    </row>
    <row r="158" spans="1:18" ht="20" customHeight="1">
      <c r="A158" t="s">
        <v>42</v>
      </c>
      <c r="B158" t="s">
        <v>57</v>
      </c>
      <c r="D158" t="s">
        <v>1031</v>
      </c>
      <c r="E158" t="s">
        <v>35</v>
      </c>
      <c r="F158" t="s">
        <v>406</v>
      </c>
      <c r="G158" t="s">
        <v>1449</v>
      </c>
      <c r="H158" t="s">
        <v>44</v>
      </c>
      <c r="I158" t="s">
        <v>44</v>
      </c>
      <c r="J158" t="s">
        <v>44</v>
      </c>
      <c r="K158" t="s">
        <v>1028</v>
      </c>
      <c r="L158" t="s">
        <v>1450</v>
      </c>
      <c r="M158" t="s">
        <v>1451</v>
      </c>
      <c r="N158" t="s">
        <v>404</v>
      </c>
      <c r="O158" t="s">
        <v>36</v>
      </c>
      <c r="P158" t="s">
        <v>37</v>
      </c>
      <c r="Q158" t="s">
        <v>1005</v>
      </c>
      <c r="R158" t="s">
        <v>107</v>
      </c>
    </row>
    <row r="159" spans="1:18" ht="20" customHeight="1">
      <c r="A159" t="s">
        <v>42</v>
      </c>
      <c r="B159" t="s">
        <v>57</v>
      </c>
      <c r="D159" t="s">
        <v>1031</v>
      </c>
      <c r="E159" t="s">
        <v>35</v>
      </c>
      <c r="F159" t="s">
        <v>409</v>
      </c>
      <c r="G159" t="s">
        <v>1452</v>
      </c>
      <c r="H159" t="s">
        <v>44</v>
      </c>
      <c r="I159" t="s">
        <v>44</v>
      </c>
      <c r="J159" t="s">
        <v>44</v>
      </c>
      <c r="K159" t="s">
        <v>44</v>
      </c>
      <c r="L159" t="s">
        <v>1453</v>
      </c>
      <c r="M159" t="s">
        <v>1454</v>
      </c>
      <c r="N159" t="s">
        <v>407</v>
      </c>
      <c r="O159" t="s">
        <v>132</v>
      </c>
      <c r="P159" t="s">
        <v>68</v>
      </c>
      <c r="Q159" t="s">
        <v>1005</v>
      </c>
      <c r="R159" t="s">
        <v>107</v>
      </c>
    </row>
    <row r="160" spans="1:18" ht="20" customHeight="1">
      <c r="A160" t="s">
        <v>42</v>
      </c>
      <c r="B160" t="s">
        <v>57</v>
      </c>
      <c r="D160" t="s">
        <v>1031</v>
      </c>
      <c r="E160" t="s">
        <v>35</v>
      </c>
      <c r="F160" t="s">
        <v>409</v>
      </c>
      <c r="G160" t="s">
        <v>1449</v>
      </c>
      <c r="H160" t="s">
        <v>44</v>
      </c>
      <c r="I160" t="s">
        <v>44</v>
      </c>
      <c r="J160" t="s">
        <v>44</v>
      </c>
      <c r="K160" t="s">
        <v>44</v>
      </c>
      <c r="L160" t="s">
        <v>1450</v>
      </c>
      <c r="M160" t="s">
        <v>1455</v>
      </c>
      <c r="N160" t="s">
        <v>758</v>
      </c>
      <c r="O160" t="s">
        <v>132</v>
      </c>
      <c r="P160" t="s">
        <v>68</v>
      </c>
      <c r="Q160" t="s">
        <v>1005</v>
      </c>
      <c r="R160" t="s">
        <v>107</v>
      </c>
    </row>
    <row r="161" spans="1:18" ht="20" customHeight="1">
      <c r="A161" t="s">
        <v>42</v>
      </c>
      <c r="B161" t="s">
        <v>57</v>
      </c>
      <c r="C161" t="s">
        <v>35</v>
      </c>
      <c r="D161" t="s">
        <v>1031</v>
      </c>
      <c r="E161" t="s">
        <v>35</v>
      </c>
      <c r="F161" t="s">
        <v>387</v>
      </c>
      <c r="G161" t="s">
        <v>1439</v>
      </c>
      <c r="H161" t="s">
        <v>44</v>
      </c>
      <c r="I161" t="s">
        <v>1028</v>
      </c>
      <c r="J161" t="s">
        <v>1028</v>
      </c>
      <c r="K161" t="s">
        <v>1028</v>
      </c>
      <c r="L161" t="s">
        <v>1440</v>
      </c>
      <c r="M161" t="s">
        <v>1456</v>
      </c>
      <c r="N161" t="s">
        <v>410</v>
      </c>
      <c r="O161" t="s">
        <v>48</v>
      </c>
      <c r="P161" t="s">
        <v>49</v>
      </c>
      <c r="Q161" t="s">
        <v>1004</v>
      </c>
      <c r="R161" t="s">
        <v>411</v>
      </c>
    </row>
    <row r="162" spans="1:18" ht="20" customHeight="1">
      <c r="A162" t="s">
        <v>42</v>
      </c>
      <c r="B162" t="s">
        <v>75</v>
      </c>
      <c r="C162" t="s">
        <v>35</v>
      </c>
      <c r="D162" t="s">
        <v>1031</v>
      </c>
      <c r="E162" t="s">
        <v>35</v>
      </c>
      <c r="F162" t="s">
        <v>923</v>
      </c>
      <c r="G162" t="s">
        <v>1457</v>
      </c>
      <c r="H162" t="s">
        <v>44</v>
      </c>
      <c r="I162" t="s">
        <v>1028</v>
      </c>
      <c r="J162" t="s">
        <v>1028</v>
      </c>
      <c r="K162" t="s">
        <v>1028</v>
      </c>
      <c r="L162" t="s">
        <v>1458</v>
      </c>
      <c r="M162" t="s">
        <v>1459</v>
      </c>
      <c r="N162" t="s">
        <v>920</v>
      </c>
      <c r="O162" t="s">
        <v>48</v>
      </c>
      <c r="P162" t="s">
        <v>49</v>
      </c>
      <c r="Q162" t="s">
        <v>1004</v>
      </c>
      <c r="R162" t="s">
        <v>921</v>
      </c>
    </row>
    <row r="163" spans="1:18" ht="20" customHeight="1">
      <c r="A163" t="s">
        <v>42</v>
      </c>
      <c r="B163" t="s">
        <v>80</v>
      </c>
      <c r="C163" t="s">
        <v>35</v>
      </c>
      <c r="D163" t="s">
        <v>1031</v>
      </c>
      <c r="E163" t="s">
        <v>35</v>
      </c>
      <c r="F163" t="s">
        <v>763</v>
      </c>
      <c r="G163" t="s">
        <v>1460</v>
      </c>
      <c r="H163" t="s">
        <v>44</v>
      </c>
      <c r="I163" t="s">
        <v>1028</v>
      </c>
      <c r="J163" t="s">
        <v>1028</v>
      </c>
      <c r="K163" t="s">
        <v>1028</v>
      </c>
      <c r="L163" t="s">
        <v>1461</v>
      </c>
      <c r="M163" t="s">
        <v>1462</v>
      </c>
      <c r="N163" t="s">
        <v>760</v>
      </c>
      <c r="O163" t="s">
        <v>48</v>
      </c>
      <c r="P163" t="s">
        <v>49</v>
      </c>
      <c r="Q163" t="s">
        <v>1004</v>
      </c>
      <c r="R163" t="s">
        <v>761</v>
      </c>
    </row>
    <row r="164" spans="1:18" ht="20" customHeight="1">
      <c r="A164" t="s">
        <v>42</v>
      </c>
      <c r="B164" t="s">
        <v>925</v>
      </c>
      <c r="D164" t="s">
        <v>1031</v>
      </c>
      <c r="E164" t="s">
        <v>35</v>
      </c>
      <c r="F164" t="s">
        <v>928</v>
      </c>
      <c r="G164" t="s">
        <v>1463</v>
      </c>
      <c r="H164" t="s">
        <v>44</v>
      </c>
      <c r="I164" t="s">
        <v>1028</v>
      </c>
      <c r="J164" t="s">
        <v>1028</v>
      </c>
      <c r="K164" t="s">
        <v>1028</v>
      </c>
      <c r="L164" t="s">
        <v>1464</v>
      </c>
      <c r="M164" t="s">
        <v>1465</v>
      </c>
      <c r="N164" t="s">
        <v>924</v>
      </c>
      <c r="O164" t="s">
        <v>48</v>
      </c>
      <c r="P164" t="s">
        <v>49</v>
      </c>
      <c r="Q164" t="s">
        <v>1004</v>
      </c>
      <c r="R164" t="s">
        <v>926</v>
      </c>
    </row>
    <row r="165" spans="1:18" ht="20" customHeight="1">
      <c r="A165" t="s">
        <v>42</v>
      </c>
      <c r="B165" t="s">
        <v>50</v>
      </c>
      <c r="C165" t="s">
        <v>63</v>
      </c>
      <c r="D165" t="s">
        <v>1031</v>
      </c>
      <c r="E165" t="s">
        <v>35</v>
      </c>
      <c r="F165" t="s">
        <v>66</v>
      </c>
      <c r="G165" t="s">
        <v>1466</v>
      </c>
      <c r="H165" t="s">
        <v>44</v>
      </c>
      <c r="I165" t="s">
        <v>1028</v>
      </c>
      <c r="J165" t="s">
        <v>1028</v>
      </c>
      <c r="K165" t="s">
        <v>1028</v>
      </c>
      <c r="L165" t="s">
        <v>1467</v>
      </c>
      <c r="M165" t="s">
        <v>1468</v>
      </c>
      <c r="N165" t="s">
        <v>62</v>
      </c>
      <c r="O165" t="s">
        <v>48</v>
      </c>
      <c r="P165" t="s">
        <v>49</v>
      </c>
      <c r="Q165" t="s">
        <v>1004</v>
      </c>
      <c r="R165" t="s">
        <v>64</v>
      </c>
    </row>
    <row r="166" spans="1:18" ht="20" customHeight="1">
      <c r="A166" t="s">
        <v>42</v>
      </c>
      <c r="B166" t="s">
        <v>50</v>
      </c>
      <c r="C166" t="s">
        <v>35</v>
      </c>
      <c r="D166" t="s">
        <v>1031</v>
      </c>
      <c r="E166" t="s">
        <v>35</v>
      </c>
      <c r="F166" t="s">
        <v>416</v>
      </c>
      <c r="G166" t="s">
        <v>1469</v>
      </c>
      <c r="H166" t="s">
        <v>44</v>
      </c>
      <c r="I166" t="s">
        <v>1028</v>
      </c>
      <c r="J166" t="s">
        <v>1028</v>
      </c>
      <c r="K166" t="s">
        <v>1028</v>
      </c>
      <c r="L166" t="s">
        <v>1470</v>
      </c>
      <c r="M166" t="s">
        <v>1471</v>
      </c>
      <c r="N166" t="s">
        <v>413</v>
      </c>
      <c r="O166" t="s">
        <v>48</v>
      </c>
      <c r="P166" t="s">
        <v>49</v>
      </c>
      <c r="Q166" t="s">
        <v>1004</v>
      </c>
      <c r="R166" t="s">
        <v>414</v>
      </c>
    </row>
    <row r="167" spans="1:18" ht="20" customHeight="1">
      <c r="A167" t="s">
        <v>42</v>
      </c>
      <c r="B167" t="s">
        <v>70</v>
      </c>
      <c r="C167" t="s">
        <v>35</v>
      </c>
      <c r="D167" t="s">
        <v>1031</v>
      </c>
      <c r="E167" t="s">
        <v>35</v>
      </c>
      <c r="F167" t="s">
        <v>73</v>
      </c>
      <c r="G167" t="s">
        <v>1472</v>
      </c>
      <c r="H167" t="s">
        <v>44</v>
      </c>
      <c r="I167" t="s">
        <v>44</v>
      </c>
      <c r="J167" t="s">
        <v>44</v>
      </c>
      <c r="K167" t="s">
        <v>1028</v>
      </c>
      <c r="L167" t="s">
        <v>1473</v>
      </c>
      <c r="M167" t="s">
        <v>1474</v>
      </c>
      <c r="N167" t="s">
        <v>67</v>
      </c>
      <c r="O167" t="s">
        <v>68</v>
      </c>
      <c r="P167" t="s">
        <v>69</v>
      </c>
      <c r="Q167" t="s">
        <v>1004</v>
      </c>
      <c r="R167" t="s">
        <v>71</v>
      </c>
    </row>
    <row r="168" spans="1:18" ht="20" customHeight="1">
      <c r="A168" t="s">
        <v>42</v>
      </c>
      <c r="B168" t="s">
        <v>38</v>
      </c>
      <c r="C168" t="s">
        <v>175</v>
      </c>
      <c r="D168" t="s">
        <v>1026</v>
      </c>
      <c r="E168" t="s">
        <v>342</v>
      </c>
      <c r="F168" t="s">
        <v>420</v>
      </c>
      <c r="G168" t="s">
        <v>1475</v>
      </c>
      <c r="H168" t="s">
        <v>44</v>
      </c>
      <c r="I168" t="s">
        <v>1028</v>
      </c>
      <c r="J168" t="s">
        <v>1028</v>
      </c>
      <c r="K168" t="s">
        <v>1028</v>
      </c>
      <c r="L168" t="s">
        <v>1476</v>
      </c>
      <c r="M168" t="s">
        <v>1477</v>
      </c>
      <c r="N168" t="s">
        <v>417</v>
      </c>
      <c r="O168" t="s">
        <v>48</v>
      </c>
      <c r="P168" t="s">
        <v>49</v>
      </c>
      <c r="Q168" t="s">
        <v>1006</v>
      </c>
      <c r="R168" t="s">
        <v>418</v>
      </c>
    </row>
    <row r="169" spans="1:18" ht="20" customHeight="1">
      <c r="A169" t="s">
        <v>42</v>
      </c>
      <c r="B169" t="s">
        <v>75</v>
      </c>
      <c r="C169" t="s">
        <v>35</v>
      </c>
      <c r="D169" t="s">
        <v>1031</v>
      </c>
      <c r="E169" t="s">
        <v>35</v>
      </c>
      <c r="F169" t="s">
        <v>766</v>
      </c>
      <c r="G169" t="s">
        <v>1478</v>
      </c>
      <c r="H169" t="s">
        <v>44</v>
      </c>
      <c r="I169" t="s">
        <v>44</v>
      </c>
      <c r="J169" t="s">
        <v>44</v>
      </c>
      <c r="K169" t="s">
        <v>44</v>
      </c>
      <c r="L169" t="s">
        <v>1479</v>
      </c>
      <c r="M169" t="s">
        <v>1480</v>
      </c>
      <c r="N169" t="s">
        <v>961</v>
      </c>
      <c r="O169" t="s">
        <v>132</v>
      </c>
      <c r="P169" t="s">
        <v>68</v>
      </c>
      <c r="Q169" t="s">
        <v>1004</v>
      </c>
      <c r="R169" t="s">
        <v>962</v>
      </c>
    </row>
    <row r="170" spans="1:18" ht="20" customHeight="1">
      <c r="A170" t="s">
        <v>42</v>
      </c>
      <c r="B170" t="s">
        <v>195</v>
      </c>
      <c r="C170" t="s">
        <v>175</v>
      </c>
      <c r="D170" t="s">
        <v>1026</v>
      </c>
      <c r="E170" t="s">
        <v>342</v>
      </c>
      <c r="F170" t="s">
        <v>424</v>
      </c>
      <c r="G170" t="s">
        <v>1481</v>
      </c>
      <c r="H170" t="s">
        <v>44</v>
      </c>
      <c r="I170" t="s">
        <v>1028</v>
      </c>
      <c r="J170" t="s">
        <v>1028</v>
      </c>
      <c r="K170" t="s">
        <v>1028</v>
      </c>
      <c r="L170" t="s">
        <v>1482</v>
      </c>
      <c r="M170" t="s">
        <v>1483</v>
      </c>
      <c r="N170" t="s">
        <v>421</v>
      </c>
      <c r="O170" t="s">
        <v>48</v>
      </c>
      <c r="P170" t="s">
        <v>49</v>
      </c>
      <c r="Q170" t="s">
        <v>1004</v>
      </c>
      <c r="R170" t="s">
        <v>422</v>
      </c>
    </row>
    <row r="171" spans="1:18" ht="20" customHeight="1">
      <c r="A171" t="s">
        <v>42</v>
      </c>
      <c r="B171" t="s">
        <v>75</v>
      </c>
      <c r="C171" t="s">
        <v>35</v>
      </c>
      <c r="D171" t="s">
        <v>1031</v>
      </c>
      <c r="E171" t="s">
        <v>35</v>
      </c>
      <c r="F171" t="s">
        <v>78</v>
      </c>
      <c r="G171" t="s">
        <v>1484</v>
      </c>
      <c r="H171" t="s">
        <v>44</v>
      </c>
      <c r="I171" t="s">
        <v>1028</v>
      </c>
      <c r="J171" t="s">
        <v>1028</v>
      </c>
      <c r="K171" t="s">
        <v>1028</v>
      </c>
      <c r="L171" t="s">
        <v>1485</v>
      </c>
      <c r="M171" t="s">
        <v>1486</v>
      </c>
      <c r="N171" t="s">
        <v>74</v>
      </c>
      <c r="O171" t="s">
        <v>48</v>
      </c>
      <c r="P171" t="s">
        <v>49</v>
      </c>
      <c r="Q171" t="s">
        <v>1218</v>
      </c>
      <c r="R171" t="s">
        <v>76</v>
      </c>
    </row>
    <row r="172" spans="1:18" ht="20" customHeight="1">
      <c r="A172" t="s">
        <v>42</v>
      </c>
      <c r="B172" t="s">
        <v>925</v>
      </c>
      <c r="C172" t="s">
        <v>175</v>
      </c>
      <c r="D172" t="s">
        <v>1031</v>
      </c>
      <c r="E172" t="s">
        <v>35</v>
      </c>
      <c r="F172" t="s">
        <v>956</v>
      </c>
      <c r="G172" t="s">
        <v>1487</v>
      </c>
      <c r="H172" t="s">
        <v>44</v>
      </c>
      <c r="I172" t="s">
        <v>1028</v>
      </c>
      <c r="J172" t="s">
        <v>1028</v>
      </c>
      <c r="K172" t="s">
        <v>1028</v>
      </c>
      <c r="L172" t="s">
        <v>1488</v>
      </c>
      <c r="M172" t="s">
        <v>1489</v>
      </c>
      <c r="N172" t="s">
        <v>953</v>
      </c>
      <c r="O172" t="s">
        <v>48</v>
      </c>
      <c r="P172" t="s">
        <v>49</v>
      </c>
      <c r="Q172" t="s">
        <v>1004</v>
      </c>
      <c r="R172" t="s">
        <v>954</v>
      </c>
    </row>
    <row r="173" spans="1:18" ht="20" customHeight="1">
      <c r="A173" t="s">
        <v>42</v>
      </c>
      <c r="B173" t="s">
        <v>57</v>
      </c>
      <c r="C173" t="s">
        <v>35</v>
      </c>
      <c r="D173" t="s">
        <v>1031</v>
      </c>
      <c r="E173" t="s">
        <v>35</v>
      </c>
      <c r="F173" t="s">
        <v>427</v>
      </c>
      <c r="G173" t="s">
        <v>1449</v>
      </c>
      <c r="H173" t="s">
        <v>44</v>
      </c>
      <c r="I173" t="s">
        <v>1028</v>
      </c>
      <c r="J173" t="s">
        <v>1028</v>
      </c>
      <c r="K173" t="s">
        <v>1028</v>
      </c>
      <c r="L173" t="s">
        <v>1450</v>
      </c>
      <c r="M173" t="s">
        <v>1490</v>
      </c>
      <c r="N173" t="s">
        <v>425</v>
      </c>
      <c r="O173" t="s">
        <v>48</v>
      </c>
      <c r="P173" t="s">
        <v>49</v>
      </c>
      <c r="Q173" t="s">
        <v>1005</v>
      </c>
      <c r="R173" t="s">
        <v>107</v>
      </c>
    </row>
    <row r="174" spans="1:18" ht="20" customHeight="1">
      <c r="A174" t="s">
        <v>42</v>
      </c>
      <c r="B174" t="s">
        <v>127</v>
      </c>
      <c r="D174" t="s">
        <v>1031</v>
      </c>
      <c r="E174" t="s">
        <v>35</v>
      </c>
      <c r="F174" t="s">
        <v>430</v>
      </c>
      <c r="G174" t="s">
        <v>1491</v>
      </c>
      <c r="H174" t="s">
        <v>44</v>
      </c>
      <c r="I174" t="s">
        <v>1028</v>
      </c>
      <c r="J174" t="s">
        <v>1028</v>
      </c>
      <c r="K174" t="s">
        <v>1028</v>
      </c>
      <c r="L174" t="s">
        <v>1492</v>
      </c>
      <c r="M174" t="s">
        <v>1493</v>
      </c>
      <c r="N174" t="s">
        <v>428</v>
      </c>
      <c r="O174" t="s">
        <v>48</v>
      </c>
      <c r="P174" t="s">
        <v>49</v>
      </c>
      <c r="Q174" t="s">
        <v>1004</v>
      </c>
      <c r="R174" t="s">
        <v>128</v>
      </c>
    </row>
    <row r="175" spans="1:18" ht="20" customHeight="1">
      <c r="A175" t="s">
        <v>42</v>
      </c>
      <c r="B175" t="s">
        <v>127</v>
      </c>
      <c r="C175" t="s">
        <v>35</v>
      </c>
      <c r="D175" t="s">
        <v>1031</v>
      </c>
      <c r="E175" t="s">
        <v>35</v>
      </c>
      <c r="F175" t="s">
        <v>435</v>
      </c>
      <c r="G175" t="s">
        <v>1494</v>
      </c>
      <c r="H175" t="s">
        <v>44</v>
      </c>
      <c r="I175" t="s">
        <v>44</v>
      </c>
      <c r="J175" t="s">
        <v>44</v>
      </c>
      <c r="K175" t="s">
        <v>1028</v>
      </c>
      <c r="L175" t="s">
        <v>1495</v>
      </c>
      <c r="M175" t="s">
        <v>1496</v>
      </c>
      <c r="N175" t="s">
        <v>431</v>
      </c>
      <c r="O175" t="s">
        <v>432</v>
      </c>
      <c r="P175" t="s">
        <v>432</v>
      </c>
      <c r="Q175" t="s">
        <v>1006</v>
      </c>
      <c r="R175" t="s">
        <v>433</v>
      </c>
    </row>
    <row r="176" spans="1:18" ht="20" customHeight="1">
      <c r="A176" t="s">
        <v>42</v>
      </c>
      <c r="B176" t="s">
        <v>80</v>
      </c>
      <c r="C176" t="s">
        <v>35</v>
      </c>
      <c r="D176" t="s">
        <v>1031</v>
      </c>
      <c r="E176" t="s">
        <v>35</v>
      </c>
      <c r="F176" t="s">
        <v>766</v>
      </c>
      <c r="G176" t="s">
        <v>1368</v>
      </c>
      <c r="H176" t="s">
        <v>44</v>
      </c>
      <c r="I176" t="s">
        <v>44</v>
      </c>
      <c r="J176" t="s">
        <v>44</v>
      </c>
      <c r="K176" t="s">
        <v>44</v>
      </c>
      <c r="L176" t="s">
        <v>1369</v>
      </c>
      <c r="M176" t="s">
        <v>1497</v>
      </c>
      <c r="N176" t="s">
        <v>764</v>
      </c>
      <c r="O176" t="s">
        <v>132</v>
      </c>
      <c r="P176" t="s">
        <v>68</v>
      </c>
      <c r="Q176" t="s">
        <v>1004</v>
      </c>
      <c r="R176" t="s">
        <v>133</v>
      </c>
    </row>
    <row r="177" spans="1:18" ht="20" customHeight="1">
      <c r="A177" t="s">
        <v>42</v>
      </c>
      <c r="B177" t="s">
        <v>80</v>
      </c>
      <c r="D177" t="s">
        <v>1031</v>
      </c>
      <c r="E177" t="s">
        <v>35</v>
      </c>
      <c r="F177" t="s">
        <v>83</v>
      </c>
      <c r="G177" t="s">
        <v>1498</v>
      </c>
      <c r="H177" t="s">
        <v>44</v>
      </c>
      <c r="I177" t="s">
        <v>44</v>
      </c>
      <c r="J177" t="s">
        <v>44</v>
      </c>
      <c r="K177" t="s">
        <v>1028</v>
      </c>
      <c r="L177" t="s">
        <v>1499</v>
      </c>
      <c r="M177" t="s">
        <v>1500</v>
      </c>
      <c r="N177" t="s">
        <v>79</v>
      </c>
      <c r="O177" t="s">
        <v>36</v>
      </c>
      <c r="P177" t="s">
        <v>37</v>
      </c>
      <c r="Q177" t="s">
        <v>1004</v>
      </c>
      <c r="R177" t="s">
        <v>81</v>
      </c>
    </row>
    <row r="178" spans="1:18" ht="20" customHeight="1">
      <c r="A178" t="s">
        <v>42</v>
      </c>
      <c r="B178" t="s">
        <v>86</v>
      </c>
      <c r="C178" t="s">
        <v>35</v>
      </c>
      <c r="D178" t="s">
        <v>1031</v>
      </c>
      <c r="E178" t="s">
        <v>35</v>
      </c>
      <c r="F178" t="s">
        <v>89</v>
      </c>
      <c r="G178" t="s">
        <v>1501</v>
      </c>
      <c r="H178" t="s">
        <v>44</v>
      </c>
      <c r="I178" t="s">
        <v>44</v>
      </c>
      <c r="J178" t="s">
        <v>44</v>
      </c>
      <c r="K178" t="s">
        <v>1028</v>
      </c>
      <c r="L178" t="s">
        <v>1502</v>
      </c>
      <c r="M178" t="s">
        <v>1503</v>
      </c>
      <c r="N178" t="s">
        <v>85</v>
      </c>
      <c r="O178" t="s">
        <v>36</v>
      </c>
      <c r="P178" t="s">
        <v>37</v>
      </c>
      <c r="Q178" t="s">
        <v>1504</v>
      </c>
      <c r="R178" t="s">
        <v>87</v>
      </c>
    </row>
    <row r="179" spans="1:18" ht="20" customHeight="1">
      <c r="A179" t="s">
        <v>42</v>
      </c>
      <c r="B179" t="s">
        <v>80</v>
      </c>
      <c r="D179" t="s">
        <v>1031</v>
      </c>
      <c r="E179" t="s">
        <v>35</v>
      </c>
      <c r="F179" t="s">
        <v>264</v>
      </c>
      <c r="G179" t="s">
        <v>1139</v>
      </c>
      <c r="H179" t="s">
        <v>44</v>
      </c>
      <c r="I179" t="s">
        <v>44</v>
      </c>
      <c r="J179" t="s">
        <v>44</v>
      </c>
      <c r="K179" t="s">
        <v>44</v>
      </c>
      <c r="L179" t="s">
        <v>1140</v>
      </c>
      <c r="M179" t="s">
        <v>89</v>
      </c>
      <c r="N179" t="s">
        <v>436</v>
      </c>
      <c r="O179" t="s">
        <v>132</v>
      </c>
      <c r="P179" t="s">
        <v>68</v>
      </c>
      <c r="Q179" t="s">
        <v>1004</v>
      </c>
      <c r="R179" t="s">
        <v>437</v>
      </c>
    </row>
    <row r="180" spans="1:18" ht="20" customHeight="1">
      <c r="A180" t="s">
        <v>42</v>
      </c>
      <c r="B180" t="s">
        <v>101</v>
      </c>
      <c r="D180" t="s">
        <v>1031</v>
      </c>
      <c r="E180" t="s">
        <v>35</v>
      </c>
      <c r="F180" t="s">
        <v>770</v>
      </c>
      <c r="G180" t="s">
        <v>1505</v>
      </c>
      <c r="H180" t="s">
        <v>44</v>
      </c>
      <c r="I180" t="s">
        <v>44</v>
      </c>
      <c r="J180" t="s">
        <v>44</v>
      </c>
      <c r="K180" t="s">
        <v>44</v>
      </c>
      <c r="L180" t="s">
        <v>1506</v>
      </c>
      <c r="M180" t="s">
        <v>1507</v>
      </c>
      <c r="N180" t="s">
        <v>767</v>
      </c>
      <c r="O180" t="s">
        <v>132</v>
      </c>
      <c r="P180" t="s">
        <v>68</v>
      </c>
      <c r="Q180" t="s">
        <v>1004</v>
      </c>
      <c r="R180" t="s">
        <v>768</v>
      </c>
    </row>
    <row r="181" spans="1:18" ht="20" customHeight="1">
      <c r="A181" t="s">
        <v>42</v>
      </c>
      <c r="B181" t="s">
        <v>101</v>
      </c>
      <c r="D181" t="s">
        <v>1031</v>
      </c>
      <c r="E181" t="s">
        <v>35</v>
      </c>
      <c r="F181" t="s">
        <v>442</v>
      </c>
      <c r="G181" t="s">
        <v>1508</v>
      </c>
      <c r="H181" t="s">
        <v>44</v>
      </c>
      <c r="I181" t="s">
        <v>1028</v>
      </c>
      <c r="J181" t="s">
        <v>1028</v>
      </c>
      <c r="K181" t="s">
        <v>1028</v>
      </c>
      <c r="L181" t="s">
        <v>1509</v>
      </c>
      <c r="M181" t="s">
        <v>1510</v>
      </c>
      <c r="N181" t="s">
        <v>439</v>
      </c>
      <c r="O181" t="s">
        <v>48</v>
      </c>
      <c r="P181" t="s">
        <v>49</v>
      </c>
      <c r="Q181" t="s">
        <v>1004</v>
      </c>
      <c r="R181" t="s">
        <v>440</v>
      </c>
    </row>
    <row r="182" spans="1:18" ht="20" customHeight="1">
      <c r="A182" t="s">
        <v>42</v>
      </c>
      <c r="B182" t="s">
        <v>50</v>
      </c>
      <c r="C182" t="s">
        <v>35</v>
      </c>
      <c r="D182" t="s">
        <v>1031</v>
      </c>
      <c r="E182" t="s">
        <v>35</v>
      </c>
      <c r="F182" t="s">
        <v>264</v>
      </c>
      <c r="G182" t="s">
        <v>1443</v>
      </c>
      <c r="H182" t="s">
        <v>44</v>
      </c>
      <c r="I182" t="s">
        <v>44</v>
      </c>
      <c r="J182" t="s">
        <v>44</v>
      </c>
      <c r="K182" t="s">
        <v>44</v>
      </c>
      <c r="L182" t="s">
        <v>1444</v>
      </c>
      <c r="M182" t="s">
        <v>1511</v>
      </c>
      <c r="N182" t="s">
        <v>771</v>
      </c>
      <c r="O182" t="s">
        <v>132</v>
      </c>
      <c r="P182" t="s">
        <v>68</v>
      </c>
      <c r="Q182" t="s">
        <v>1004</v>
      </c>
      <c r="R182" t="s">
        <v>97</v>
      </c>
    </row>
    <row r="183" spans="1:18" ht="20" customHeight="1">
      <c r="A183" t="s">
        <v>42</v>
      </c>
      <c r="B183" t="s">
        <v>86</v>
      </c>
      <c r="D183" t="s">
        <v>1031</v>
      </c>
      <c r="E183" t="s">
        <v>35</v>
      </c>
      <c r="F183" t="s">
        <v>93</v>
      </c>
      <c r="G183" t="s">
        <v>1512</v>
      </c>
      <c r="H183" t="s">
        <v>44</v>
      </c>
      <c r="I183" t="s">
        <v>44</v>
      </c>
      <c r="J183" t="s">
        <v>44</v>
      </c>
      <c r="K183" t="s">
        <v>1028</v>
      </c>
      <c r="L183" t="s">
        <v>1513</v>
      </c>
      <c r="M183" t="s">
        <v>1514</v>
      </c>
      <c r="N183" t="s">
        <v>90</v>
      </c>
      <c r="O183" t="s">
        <v>36</v>
      </c>
      <c r="P183" t="s">
        <v>37</v>
      </c>
      <c r="Q183" t="s">
        <v>1005</v>
      </c>
      <c r="R183" t="s">
        <v>91</v>
      </c>
    </row>
    <row r="184" spans="1:18" ht="20" customHeight="1">
      <c r="A184" t="s">
        <v>42</v>
      </c>
      <c r="B184" t="s">
        <v>86</v>
      </c>
      <c r="D184" t="s">
        <v>1031</v>
      </c>
      <c r="E184" t="s">
        <v>35</v>
      </c>
      <c r="F184" t="s">
        <v>93</v>
      </c>
      <c r="G184" t="s">
        <v>1512</v>
      </c>
      <c r="H184" t="s">
        <v>44</v>
      </c>
      <c r="I184" t="s">
        <v>44</v>
      </c>
      <c r="J184" t="s">
        <v>44</v>
      </c>
      <c r="K184" t="s">
        <v>1028</v>
      </c>
      <c r="L184" t="s">
        <v>1513</v>
      </c>
      <c r="M184" t="s">
        <v>1515</v>
      </c>
      <c r="N184" t="s">
        <v>94</v>
      </c>
      <c r="O184" t="s">
        <v>36</v>
      </c>
      <c r="P184" t="s">
        <v>37</v>
      </c>
      <c r="Q184" t="s">
        <v>1005</v>
      </c>
      <c r="R184" t="s">
        <v>91</v>
      </c>
    </row>
    <row r="185" spans="1:18" ht="20" customHeight="1">
      <c r="A185" t="s">
        <v>42</v>
      </c>
      <c r="B185" t="s">
        <v>80</v>
      </c>
      <c r="C185" t="s">
        <v>35</v>
      </c>
      <c r="D185" t="s">
        <v>1031</v>
      </c>
      <c r="E185" t="s">
        <v>35</v>
      </c>
      <c r="F185" t="s">
        <v>445</v>
      </c>
      <c r="G185" t="s">
        <v>1516</v>
      </c>
      <c r="H185" t="s">
        <v>44</v>
      </c>
      <c r="I185" t="s">
        <v>44</v>
      </c>
      <c r="J185" t="s">
        <v>44</v>
      </c>
      <c r="K185" t="s">
        <v>1028</v>
      </c>
      <c r="L185" t="s">
        <v>1517</v>
      </c>
      <c r="M185" t="s">
        <v>1518</v>
      </c>
      <c r="N185" t="s">
        <v>443</v>
      </c>
      <c r="O185" t="s">
        <v>36</v>
      </c>
      <c r="P185" t="s">
        <v>37</v>
      </c>
      <c r="Q185" t="s">
        <v>1004</v>
      </c>
      <c r="R185" t="s">
        <v>118</v>
      </c>
    </row>
    <row r="186" spans="1:18" ht="20" customHeight="1">
      <c r="A186" t="s">
        <v>42</v>
      </c>
      <c r="B186" t="s">
        <v>50</v>
      </c>
      <c r="C186" t="s">
        <v>63</v>
      </c>
      <c r="D186" t="s">
        <v>1031</v>
      </c>
      <c r="E186" t="s">
        <v>35</v>
      </c>
      <c r="F186" t="s">
        <v>99</v>
      </c>
      <c r="G186" t="s">
        <v>1519</v>
      </c>
      <c r="H186" t="s">
        <v>44</v>
      </c>
      <c r="I186" t="s">
        <v>1028</v>
      </c>
      <c r="J186" t="s">
        <v>1028</v>
      </c>
      <c r="K186" t="s">
        <v>1028</v>
      </c>
      <c r="L186" t="s">
        <v>1520</v>
      </c>
      <c r="M186" t="s">
        <v>1521</v>
      </c>
      <c r="N186" t="s">
        <v>96</v>
      </c>
      <c r="O186" t="s">
        <v>48</v>
      </c>
      <c r="P186" t="s">
        <v>49</v>
      </c>
      <c r="Q186" t="s">
        <v>1004</v>
      </c>
      <c r="R186" t="s">
        <v>97</v>
      </c>
    </row>
    <row r="187" spans="1:18" ht="20" customHeight="1">
      <c r="A187" t="s">
        <v>42</v>
      </c>
      <c r="B187" t="s">
        <v>57</v>
      </c>
      <c r="C187" t="s">
        <v>35</v>
      </c>
      <c r="D187" t="s">
        <v>1031</v>
      </c>
      <c r="E187" t="s">
        <v>35</v>
      </c>
      <c r="F187" t="s">
        <v>264</v>
      </c>
      <c r="G187" t="s">
        <v>1522</v>
      </c>
      <c r="H187" t="s">
        <v>44</v>
      </c>
      <c r="I187" t="s">
        <v>44</v>
      </c>
      <c r="J187" t="s">
        <v>44</v>
      </c>
      <c r="K187" t="s">
        <v>44</v>
      </c>
      <c r="L187" t="s">
        <v>1523</v>
      </c>
      <c r="M187" t="s">
        <v>1524</v>
      </c>
      <c r="N187" t="s">
        <v>261</v>
      </c>
      <c r="O187" t="s">
        <v>132</v>
      </c>
      <c r="P187" t="s">
        <v>68</v>
      </c>
      <c r="Q187" t="s">
        <v>1004</v>
      </c>
      <c r="R187" t="s">
        <v>262</v>
      </c>
    </row>
    <row r="188" spans="1:18" ht="20" customHeight="1">
      <c r="A188" t="s">
        <v>42</v>
      </c>
      <c r="B188" t="s">
        <v>57</v>
      </c>
      <c r="C188" t="s">
        <v>35</v>
      </c>
      <c r="D188" t="s">
        <v>1031</v>
      </c>
      <c r="E188" t="s">
        <v>35</v>
      </c>
      <c r="F188" t="s">
        <v>264</v>
      </c>
      <c r="G188" t="s">
        <v>1525</v>
      </c>
      <c r="H188" t="s">
        <v>44</v>
      </c>
      <c r="I188" t="s">
        <v>44</v>
      </c>
      <c r="J188" t="s">
        <v>44</v>
      </c>
      <c r="K188" t="s">
        <v>44</v>
      </c>
      <c r="L188" t="s">
        <v>1526</v>
      </c>
      <c r="M188" t="s">
        <v>1527</v>
      </c>
      <c r="N188" t="s">
        <v>773</v>
      </c>
      <c r="O188" t="s">
        <v>132</v>
      </c>
      <c r="P188" t="s">
        <v>68</v>
      </c>
      <c r="Q188" t="s">
        <v>1004</v>
      </c>
      <c r="R188" t="s">
        <v>453</v>
      </c>
    </row>
    <row r="189" spans="1:18" ht="20" customHeight="1">
      <c r="A189" t="s">
        <v>42</v>
      </c>
      <c r="B189" t="s">
        <v>80</v>
      </c>
      <c r="C189" t="s">
        <v>35</v>
      </c>
      <c r="D189" t="s">
        <v>1031</v>
      </c>
      <c r="E189" t="s">
        <v>35</v>
      </c>
      <c r="F189" t="s">
        <v>264</v>
      </c>
      <c r="G189" t="s">
        <v>1528</v>
      </c>
      <c r="H189" t="s">
        <v>44</v>
      </c>
      <c r="I189" t="s">
        <v>44</v>
      </c>
      <c r="J189" t="s">
        <v>44</v>
      </c>
      <c r="K189" t="s">
        <v>44</v>
      </c>
      <c r="L189" t="s">
        <v>1529</v>
      </c>
      <c r="M189" t="s">
        <v>1530</v>
      </c>
      <c r="N189" t="s">
        <v>336</v>
      </c>
      <c r="O189" t="s">
        <v>132</v>
      </c>
      <c r="P189" t="s">
        <v>68</v>
      </c>
      <c r="Q189" t="s">
        <v>1005</v>
      </c>
      <c r="R189" t="s">
        <v>337</v>
      </c>
    </row>
    <row r="190" spans="1:18" ht="20" customHeight="1">
      <c r="A190" t="s">
        <v>42</v>
      </c>
      <c r="B190" t="s">
        <v>80</v>
      </c>
      <c r="C190" t="s">
        <v>35</v>
      </c>
      <c r="D190" t="s">
        <v>1031</v>
      </c>
      <c r="E190" t="s">
        <v>35</v>
      </c>
      <c r="F190" t="s">
        <v>448</v>
      </c>
      <c r="G190" t="s">
        <v>1498</v>
      </c>
      <c r="H190" t="s">
        <v>44</v>
      </c>
      <c r="I190" t="s">
        <v>44</v>
      </c>
      <c r="J190" t="s">
        <v>44</v>
      </c>
      <c r="K190" t="s">
        <v>1028</v>
      </c>
      <c r="L190" t="s">
        <v>1499</v>
      </c>
      <c r="M190" t="s">
        <v>1531</v>
      </c>
      <c r="N190" t="s">
        <v>446</v>
      </c>
      <c r="O190" t="s">
        <v>36</v>
      </c>
      <c r="P190" t="s">
        <v>37</v>
      </c>
      <c r="Q190" t="s">
        <v>1004</v>
      </c>
      <c r="R190" t="s">
        <v>81</v>
      </c>
    </row>
    <row r="191" spans="1:18" ht="20" customHeight="1">
      <c r="A191" t="s">
        <v>42</v>
      </c>
      <c r="B191" t="s">
        <v>80</v>
      </c>
      <c r="C191" t="s">
        <v>35</v>
      </c>
      <c r="D191" t="s">
        <v>1031</v>
      </c>
      <c r="E191" t="s">
        <v>35</v>
      </c>
      <c r="F191" t="s">
        <v>268</v>
      </c>
      <c r="G191" t="s">
        <v>1532</v>
      </c>
      <c r="H191" t="s">
        <v>44</v>
      </c>
      <c r="I191" t="s">
        <v>44</v>
      </c>
      <c r="J191" t="s">
        <v>44</v>
      </c>
      <c r="K191" t="s">
        <v>44</v>
      </c>
      <c r="L191" t="s">
        <v>1533</v>
      </c>
      <c r="M191" t="s">
        <v>1534</v>
      </c>
      <c r="N191" t="s">
        <v>265</v>
      </c>
      <c r="O191" t="s">
        <v>132</v>
      </c>
      <c r="P191" t="s">
        <v>68</v>
      </c>
      <c r="Q191" t="s">
        <v>1004</v>
      </c>
      <c r="R191" t="s">
        <v>266</v>
      </c>
    </row>
    <row r="192" spans="1:18" ht="20" customHeight="1">
      <c r="A192" t="s">
        <v>42</v>
      </c>
      <c r="B192" t="s">
        <v>57</v>
      </c>
      <c r="C192" t="s">
        <v>35</v>
      </c>
      <c r="D192" t="s">
        <v>1031</v>
      </c>
      <c r="E192" t="s">
        <v>35</v>
      </c>
      <c r="F192" t="s">
        <v>451</v>
      </c>
      <c r="G192" t="s">
        <v>1535</v>
      </c>
      <c r="H192" t="s">
        <v>44</v>
      </c>
      <c r="I192" t="s">
        <v>1028</v>
      </c>
      <c r="J192" t="s">
        <v>1028</v>
      </c>
      <c r="K192" t="s">
        <v>1028</v>
      </c>
      <c r="L192" t="s">
        <v>1536</v>
      </c>
      <c r="M192" t="s">
        <v>1537</v>
      </c>
      <c r="N192" t="s">
        <v>449</v>
      </c>
      <c r="O192" t="s">
        <v>48</v>
      </c>
      <c r="P192" t="s">
        <v>49</v>
      </c>
      <c r="Q192" t="s">
        <v>1004</v>
      </c>
      <c r="R192" t="s">
        <v>273</v>
      </c>
    </row>
    <row r="193" spans="1:18" ht="20" customHeight="1">
      <c r="A193" t="s">
        <v>42</v>
      </c>
      <c r="B193" t="s">
        <v>75</v>
      </c>
      <c r="D193" t="s">
        <v>1031</v>
      </c>
      <c r="E193" t="s">
        <v>35</v>
      </c>
      <c r="F193" t="s">
        <v>268</v>
      </c>
      <c r="G193" t="s">
        <v>1538</v>
      </c>
      <c r="H193" t="s">
        <v>44</v>
      </c>
      <c r="I193" t="s">
        <v>44</v>
      </c>
      <c r="J193" t="s">
        <v>44</v>
      </c>
      <c r="K193" t="s">
        <v>44</v>
      </c>
      <c r="L193" t="s">
        <v>1539</v>
      </c>
      <c r="M193" t="s">
        <v>1540</v>
      </c>
      <c r="N193" t="s">
        <v>269</v>
      </c>
      <c r="O193" t="s">
        <v>132</v>
      </c>
      <c r="P193" t="s">
        <v>68</v>
      </c>
      <c r="Q193" t="s">
        <v>1004</v>
      </c>
      <c r="R193" t="s">
        <v>270</v>
      </c>
    </row>
    <row r="194" spans="1:18" ht="20" customHeight="1">
      <c r="A194" t="s">
        <v>42</v>
      </c>
      <c r="B194" t="s">
        <v>57</v>
      </c>
      <c r="D194" t="s">
        <v>1031</v>
      </c>
      <c r="E194" t="s">
        <v>35</v>
      </c>
      <c r="F194" t="s">
        <v>275</v>
      </c>
      <c r="G194" t="s">
        <v>1541</v>
      </c>
      <c r="H194" t="s">
        <v>44</v>
      </c>
      <c r="I194" t="s">
        <v>44</v>
      </c>
      <c r="J194" t="s">
        <v>44</v>
      </c>
      <c r="K194" t="s">
        <v>44</v>
      </c>
      <c r="L194" t="s">
        <v>1542</v>
      </c>
      <c r="M194" t="s">
        <v>1543</v>
      </c>
      <c r="N194" t="s">
        <v>272</v>
      </c>
      <c r="O194" t="s">
        <v>132</v>
      </c>
      <c r="P194" t="s">
        <v>68</v>
      </c>
      <c r="Q194" t="s">
        <v>1004</v>
      </c>
      <c r="R194" t="s">
        <v>273</v>
      </c>
    </row>
    <row r="195" spans="1:18" ht="20" customHeight="1">
      <c r="A195" t="s">
        <v>42</v>
      </c>
      <c r="B195" t="s">
        <v>101</v>
      </c>
      <c r="D195" t="s">
        <v>1031</v>
      </c>
      <c r="E195" t="s">
        <v>35</v>
      </c>
      <c r="F195" t="s">
        <v>104</v>
      </c>
      <c r="G195" t="s">
        <v>1544</v>
      </c>
      <c r="H195" t="s">
        <v>44</v>
      </c>
      <c r="I195" t="s">
        <v>44</v>
      </c>
      <c r="J195" t="s">
        <v>44</v>
      </c>
      <c r="K195" t="s">
        <v>1028</v>
      </c>
      <c r="L195" t="s">
        <v>1545</v>
      </c>
      <c r="M195" t="s">
        <v>1546</v>
      </c>
      <c r="N195" t="s">
        <v>100</v>
      </c>
      <c r="O195" t="s">
        <v>36</v>
      </c>
      <c r="P195" t="s">
        <v>37</v>
      </c>
      <c r="Q195" t="s">
        <v>1547</v>
      </c>
      <c r="R195" t="s">
        <v>102</v>
      </c>
    </row>
    <row r="196" spans="1:18" ht="20" customHeight="1">
      <c r="A196" t="s">
        <v>42</v>
      </c>
      <c r="B196" t="s">
        <v>57</v>
      </c>
      <c r="C196" t="s">
        <v>35</v>
      </c>
      <c r="D196" t="s">
        <v>1031</v>
      </c>
      <c r="E196" t="s">
        <v>35</v>
      </c>
      <c r="F196" t="s">
        <v>109</v>
      </c>
      <c r="G196" t="s">
        <v>1548</v>
      </c>
      <c r="H196" t="s">
        <v>44</v>
      </c>
      <c r="I196" t="s">
        <v>1028</v>
      </c>
      <c r="J196" t="s">
        <v>1028</v>
      </c>
      <c r="K196" t="s">
        <v>1028</v>
      </c>
      <c r="L196" t="s">
        <v>1549</v>
      </c>
      <c r="M196" t="s">
        <v>1550</v>
      </c>
      <c r="N196" t="s">
        <v>106</v>
      </c>
      <c r="O196" t="s">
        <v>48</v>
      </c>
      <c r="P196" t="s">
        <v>49</v>
      </c>
      <c r="Q196" t="s">
        <v>1005</v>
      </c>
      <c r="R196" t="s">
        <v>107</v>
      </c>
    </row>
    <row r="197" spans="1:18" ht="20" customHeight="1">
      <c r="A197" t="s">
        <v>42</v>
      </c>
      <c r="B197" t="s">
        <v>57</v>
      </c>
      <c r="C197" t="s">
        <v>35</v>
      </c>
      <c r="D197" t="s">
        <v>1031</v>
      </c>
      <c r="E197" t="s">
        <v>35</v>
      </c>
      <c r="F197" t="s">
        <v>455</v>
      </c>
      <c r="G197" t="s">
        <v>1525</v>
      </c>
      <c r="H197" t="s">
        <v>44</v>
      </c>
      <c r="I197" t="s">
        <v>1028</v>
      </c>
      <c r="J197" t="s">
        <v>1028</v>
      </c>
      <c r="K197" t="s">
        <v>1028</v>
      </c>
      <c r="L197" t="s">
        <v>1526</v>
      </c>
      <c r="M197" t="s">
        <v>1551</v>
      </c>
      <c r="N197" t="s">
        <v>452</v>
      </c>
      <c r="O197" t="s">
        <v>48</v>
      </c>
      <c r="P197" t="s">
        <v>49</v>
      </c>
      <c r="Q197" t="s">
        <v>1004</v>
      </c>
      <c r="R197" t="s">
        <v>453</v>
      </c>
    </row>
    <row r="198" spans="1:18" ht="20" customHeight="1">
      <c r="A198" t="s">
        <v>42</v>
      </c>
      <c r="B198" t="s">
        <v>315</v>
      </c>
      <c r="D198" t="s">
        <v>1031</v>
      </c>
      <c r="E198" t="s">
        <v>35</v>
      </c>
      <c r="F198" t="s">
        <v>459</v>
      </c>
      <c r="G198" t="s">
        <v>1552</v>
      </c>
      <c r="H198" t="s">
        <v>44</v>
      </c>
      <c r="I198" t="s">
        <v>1028</v>
      </c>
      <c r="J198" t="s">
        <v>1028</v>
      </c>
      <c r="K198" t="s">
        <v>1028</v>
      </c>
      <c r="L198" t="s">
        <v>1553</v>
      </c>
      <c r="M198" t="s">
        <v>1554</v>
      </c>
      <c r="N198" t="s">
        <v>456</v>
      </c>
      <c r="O198" t="s">
        <v>48</v>
      </c>
      <c r="P198" t="s">
        <v>69</v>
      </c>
      <c r="Q198" t="s">
        <v>1005</v>
      </c>
      <c r="R198" t="s">
        <v>457</v>
      </c>
    </row>
    <row r="199" spans="1:18" ht="20" customHeight="1">
      <c r="A199" t="s">
        <v>42</v>
      </c>
      <c r="B199" t="s">
        <v>101</v>
      </c>
      <c r="C199" t="s">
        <v>63</v>
      </c>
      <c r="D199" t="s">
        <v>1031</v>
      </c>
      <c r="E199" t="s">
        <v>35</v>
      </c>
      <c r="F199" t="s">
        <v>112</v>
      </c>
      <c r="G199" t="s">
        <v>1555</v>
      </c>
      <c r="H199" t="s">
        <v>44</v>
      </c>
      <c r="I199" t="s">
        <v>44</v>
      </c>
      <c r="J199" t="s">
        <v>44</v>
      </c>
      <c r="K199" t="s">
        <v>1028</v>
      </c>
      <c r="L199" t="s">
        <v>1556</v>
      </c>
      <c r="M199" t="s">
        <v>1557</v>
      </c>
      <c r="N199" t="s">
        <v>110</v>
      </c>
      <c r="O199" t="s">
        <v>68</v>
      </c>
      <c r="P199" t="s">
        <v>69</v>
      </c>
      <c r="Q199" t="s">
        <v>1547</v>
      </c>
      <c r="R199" t="s">
        <v>102</v>
      </c>
    </row>
    <row r="200" spans="1:18" ht="20" customHeight="1">
      <c r="A200" t="s">
        <v>42</v>
      </c>
      <c r="B200" t="s">
        <v>80</v>
      </c>
      <c r="D200" t="s">
        <v>1031</v>
      </c>
      <c r="E200" t="s">
        <v>35</v>
      </c>
      <c r="F200" t="s">
        <v>116</v>
      </c>
      <c r="G200" t="s">
        <v>1558</v>
      </c>
      <c r="H200" t="s">
        <v>44</v>
      </c>
      <c r="I200" t="s">
        <v>1028</v>
      </c>
      <c r="J200" t="s">
        <v>1028</v>
      </c>
      <c r="K200" t="s">
        <v>1028</v>
      </c>
      <c r="L200" t="s">
        <v>1559</v>
      </c>
      <c r="M200" t="s">
        <v>1560</v>
      </c>
      <c r="N200" t="s">
        <v>460</v>
      </c>
      <c r="O200" t="s">
        <v>48</v>
      </c>
      <c r="P200" t="s">
        <v>49</v>
      </c>
      <c r="Q200" t="s">
        <v>1004</v>
      </c>
      <c r="R200" t="s">
        <v>461</v>
      </c>
    </row>
    <row r="201" spans="1:18" ht="20" customHeight="1">
      <c r="A201" t="s">
        <v>42</v>
      </c>
      <c r="B201" t="s">
        <v>80</v>
      </c>
      <c r="D201" t="s">
        <v>1031</v>
      </c>
      <c r="E201" t="s">
        <v>35</v>
      </c>
      <c r="F201" t="s">
        <v>465</v>
      </c>
      <c r="G201" t="s">
        <v>1249</v>
      </c>
      <c r="H201" t="s">
        <v>44</v>
      </c>
      <c r="I201" t="s">
        <v>1028</v>
      </c>
      <c r="J201" t="s">
        <v>1028</v>
      </c>
      <c r="K201" t="s">
        <v>1028</v>
      </c>
      <c r="L201" t="s">
        <v>1250</v>
      </c>
      <c r="M201" t="s">
        <v>1561</v>
      </c>
      <c r="N201" t="s">
        <v>463</v>
      </c>
      <c r="O201" t="s">
        <v>48</v>
      </c>
      <c r="P201" t="s">
        <v>49</v>
      </c>
      <c r="Q201" t="s">
        <v>1004</v>
      </c>
      <c r="R201" t="s">
        <v>164</v>
      </c>
    </row>
    <row r="202" spans="1:18" ht="20" customHeight="1">
      <c r="A202" t="s">
        <v>42</v>
      </c>
      <c r="B202" t="s">
        <v>57</v>
      </c>
      <c r="D202" t="s">
        <v>1031</v>
      </c>
      <c r="E202" t="s">
        <v>35</v>
      </c>
      <c r="F202" t="s">
        <v>777</v>
      </c>
      <c r="G202" t="s">
        <v>1562</v>
      </c>
      <c r="H202" t="s">
        <v>44</v>
      </c>
      <c r="I202" t="s">
        <v>1028</v>
      </c>
      <c r="J202" t="s">
        <v>1028</v>
      </c>
      <c r="K202" t="s">
        <v>1028</v>
      </c>
      <c r="L202" t="s">
        <v>1563</v>
      </c>
      <c r="M202" t="s">
        <v>1564</v>
      </c>
      <c r="N202" t="s">
        <v>775</v>
      </c>
      <c r="O202" t="s">
        <v>48</v>
      </c>
      <c r="P202" t="s">
        <v>49</v>
      </c>
      <c r="Q202" t="s">
        <v>1006</v>
      </c>
      <c r="R202" t="s">
        <v>107</v>
      </c>
    </row>
    <row r="203" spans="1:18" ht="20" customHeight="1">
      <c r="A203" t="s">
        <v>42</v>
      </c>
      <c r="B203" t="s">
        <v>80</v>
      </c>
      <c r="D203" t="s">
        <v>1031</v>
      </c>
      <c r="E203" t="s">
        <v>35</v>
      </c>
      <c r="F203" t="s">
        <v>268</v>
      </c>
      <c r="G203" t="s">
        <v>1368</v>
      </c>
      <c r="H203" t="s">
        <v>44</v>
      </c>
      <c r="I203" t="s">
        <v>44</v>
      </c>
      <c r="J203" t="s">
        <v>44</v>
      </c>
      <c r="K203" t="s">
        <v>44</v>
      </c>
      <c r="L203" t="s">
        <v>1369</v>
      </c>
      <c r="M203" t="s">
        <v>1565</v>
      </c>
      <c r="N203" t="s">
        <v>778</v>
      </c>
      <c r="O203" t="s">
        <v>132</v>
      </c>
      <c r="P203" t="s">
        <v>68</v>
      </c>
      <c r="Q203" t="s">
        <v>1004</v>
      </c>
      <c r="R203" t="s">
        <v>133</v>
      </c>
    </row>
    <row r="204" spans="1:18" ht="20" customHeight="1">
      <c r="A204" t="s">
        <v>42</v>
      </c>
      <c r="B204" t="s">
        <v>127</v>
      </c>
      <c r="C204" t="s">
        <v>35</v>
      </c>
      <c r="D204" t="s">
        <v>1031</v>
      </c>
      <c r="E204" t="s">
        <v>35</v>
      </c>
      <c r="F204" t="s">
        <v>469</v>
      </c>
      <c r="G204" t="s">
        <v>1566</v>
      </c>
      <c r="H204" t="s">
        <v>44</v>
      </c>
      <c r="I204" t="s">
        <v>1028</v>
      </c>
      <c r="J204" t="s">
        <v>1028</v>
      </c>
      <c r="K204" t="s">
        <v>1028</v>
      </c>
      <c r="L204" t="s">
        <v>1567</v>
      </c>
      <c r="M204" t="s">
        <v>1568</v>
      </c>
      <c r="N204" t="s">
        <v>466</v>
      </c>
      <c r="O204" t="s">
        <v>48</v>
      </c>
      <c r="P204" t="s">
        <v>49</v>
      </c>
      <c r="Q204" t="s">
        <v>1004</v>
      </c>
      <c r="R204" t="s">
        <v>467</v>
      </c>
    </row>
    <row r="205" spans="1:18" ht="20" customHeight="1">
      <c r="A205" t="s">
        <v>42</v>
      </c>
      <c r="B205" t="s">
        <v>75</v>
      </c>
      <c r="D205" t="s">
        <v>1031</v>
      </c>
      <c r="E205" t="s">
        <v>35</v>
      </c>
      <c r="F205" t="s">
        <v>473</v>
      </c>
      <c r="G205" t="s">
        <v>1569</v>
      </c>
      <c r="H205" t="s">
        <v>44</v>
      </c>
      <c r="I205" t="s">
        <v>44</v>
      </c>
      <c r="J205" t="s">
        <v>44</v>
      </c>
      <c r="K205" t="s">
        <v>1028</v>
      </c>
      <c r="L205" t="s">
        <v>1570</v>
      </c>
      <c r="M205" t="s">
        <v>1571</v>
      </c>
      <c r="N205" t="s">
        <v>470</v>
      </c>
      <c r="O205" t="s">
        <v>122</v>
      </c>
      <c r="P205" t="s">
        <v>69</v>
      </c>
      <c r="Q205" t="s">
        <v>1004</v>
      </c>
      <c r="R205" t="s">
        <v>471</v>
      </c>
    </row>
    <row r="206" spans="1:18" ht="20" customHeight="1">
      <c r="A206" t="s">
        <v>42</v>
      </c>
      <c r="B206" t="s">
        <v>299</v>
      </c>
      <c r="C206" t="s">
        <v>35</v>
      </c>
      <c r="D206" t="s">
        <v>1031</v>
      </c>
      <c r="E206" t="s">
        <v>35</v>
      </c>
      <c r="F206" t="s">
        <v>477</v>
      </c>
      <c r="G206" t="s">
        <v>1572</v>
      </c>
      <c r="H206" t="s">
        <v>44</v>
      </c>
      <c r="I206" t="s">
        <v>1028</v>
      </c>
      <c r="J206" t="s">
        <v>1028</v>
      </c>
      <c r="K206" t="s">
        <v>1028</v>
      </c>
      <c r="L206" t="s">
        <v>1573</v>
      </c>
      <c r="M206" t="s">
        <v>1574</v>
      </c>
      <c r="N206" t="s">
        <v>474</v>
      </c>
      <c r="O206" t="s">
        <v>48</v>
      </c>
      <c r="P206" t="s">
        <v>49</v>
      </c>
      <c r="Q206" t="s">
        <v>1004</v>
      </c>
      <c r="R206" t="s">
        <v>475</v>
      </c>
    </row>
    <row r="207" spans="1:18" ht="20" customHeight="1">
      <c r="A207" t="s">
        <v>42</v>
      </c>
      <c r="B207" t="s">
        <v>289</v>
      </c>
      <c r="C207" t="s">
        <v>35</v>
      </c>
      <c r="D207" t="s">
        <v>1031</v>
      </c>
      <c r="E207" t="s">
        <v>35</v>
      </c>
      <c r="F207" t="s">
        <v>960</v>
      </c>
      <c r="G207" t="s">
        <v>1575</v>
      </c>
      <c r="H207" t="s">
        <v>44</v>
      </c>
      <c r="I207" t="s">
        <v>1028</v>
      </c>
      <c r="J207" t="s">
        <v>1028</v>
      </c>
      <c r="K207" t="s">
        <v>1028</v>
      </c>
      <c r="L207" t="s">
        <v>1576</v>
      </c>
      <c r="M207" t="s">
        <v>1577</v>
      </c>
      <c r="N207" t="s">
        <v>957</v>
      </c>
      <c r="O207" t="s">
        <v>48</v>
      </c>
      <c r="P207" t="s">
        <v>49</v>
      </c>
      <c r="Q207" t="s">
        <v>1004</v>
      </c>
      <c r="R207" t="s">
        <v>958</v>
      </c>
    </row>
    <row r="208" spans="1:18" ht="20" customHeight="1">
      <c r="A208" t="s">
        <v>42</v>
      </c>
      <c r="B208" t="s">
        <v>127</v>
      </c>
      <c r="C208" t="s">
        <v>35</v>
      </c>
      <c r="D208" t="s">
        <v>1031</v>
      </c>
      <c r="E208" t="s">
        <v>35</v>
      </c>
      <c r="F208" t="s">
        <v>279</v>
      </c>
      <c r="G208" t="s">
        <v>1578</v>
      </c>
      <c r="H208" t="s">
        <v>44</v>
      </c>
      <c r="I208" t="s">
        <v>1028</v>
      </c>
      <c r="J208" t="s">
        <v>1028</v>
      </c>
      <c r="K208" t="s">
        <v>1028</v>
      </c>
      <c r="L208" t="s">
        <v>1579</v>
      </c>
      <c r="M208" t="s">
        <v>186</v>
      </c>
      <c r="N208" t="s">
        <v>276</v>
      </c>
      <c r="O208" t="s">
        <v>48</v>
      </c>
      <c r="P208" t="s">
        <v>69</v>
      </c>
      <c r="Q208" t="s">
        <v>1005</v>
      </c>
      <c r="R208" t="s">
        <v>277</v>
      </c>
    </row>
    <row r="209" spans="1:18" ht="20" customHeight="1">
      <c r="A209" t="s">
        <v>42</v>
      </c>
      <c r="B209" t="s">
        <v>80</v>
      </c>
      <c r="C209" t="s">
        <v>35</v>
      </c>
      <c r="D209" t="s">
        <v>1031</v>
      </c>
      <c r="E209" t="s">
        <v>35</v>
      </c>
      <c r="F209" t="s">
        <v>116</v>
      </c>
      <c r="G209" t="s">
        <v>1580</v>
      </c>
      <c r="H209" t="s">
        <v>44</v>
      </c>
      <c r="I209" t="s">
        <v>1028</v>
      </c>
      <c r="J209" t="s">
        <v>1028</v>
      </c>
      <c r="K209" t="s">
        <v>1028</v>
      </c>
      <c r="L209" t="s">
        <v>1581</v>
      </c>
      <c r="M209" t="s">
        <v>1582</v>
      </c>
      <c r="N209" t="s">
        <v>113</v>
      </c>
      <c r="O209" t="s">
        <v>48</v>
      </c>
      <c r="P209" t="s">
        <v>49</v>
      </c>
      <c r="Q209" t="s">
        <v>1005</v>
      </c>
      <c r="R209" t="s">
        <v>114</v>
      </c>
    </row>
    <row r="210" spans="1:18" ht="20" customHeight="1">
      <c r="A210" t="s">
        <v>42</v>
      </c>
      <c r="B210" t="s">
        <v>234</v>
      </c>
      <c r="D210" t="s">
        <v>1031</v>
      </c>
      <c r="E210" t="s">
        <v>35</v>
      </c>
      <c r="F210" t="s">
        <v>481</v>
      </c>
      <c r="G210" t="s">
        <v>1203</v>
      </c>
      <c r="H210" t="s">
        <v>44</v>
      </c>
      <c r="I210" t="s">
        <v>44</v>
      </c>
      <c r="J210" t="s">
        <v>44</v>
      </c>
      <c r="K210" t="s">
        <v>1028</v>
      </c>
      <c r="L210" t="s">
        <v>1204</v>
      </c>
      <c r="M210" t="s">
        <v>481</v>
      </c>
      <c r="N210" t="s">
        <v>478</v>
      </c>
      <c r="O210" t="s">
        <v>36</v>
      </c>
      <c r="P210" t="s">
        <v>37</v>
      </c>
      <c r="Q210" t="s">
        <v>1004</v>
      </c>
      <c r="R210" t="s">
        <v>479</v>
      </c>
    </row>
    <row r="211" spans="1:18" ht="20" customHeight="1">
      <c r="A211" t="s">
        <v>42</v>
      </c>
      <c r="B211" t="s">
        <v>50</v>
      </c>
      <c r="C211" t="s">
        <v>35</v>
      </c>
      <c r="D211" t="s">
        <v>1031</v>
      </c>
      <c r="E211" t="s">
        <v>35</v>
      </c>
      <c r="F211" t="s">
        <v>485</v>
      </c>
      <c r="G211" t="s">
        <v>1583</v>
      </c>
      <c r="H211" t="s">
        <v>44</v>
      </c>
      <c r="I211" t="s">
        <v>1028</v>
      </c>
      <c r="J211" t="s">
        <v>1028</v>
      </c>
      <c r="K211" t="s">
        <v>1028</v>
      </c>
      <c r="L211" t="s">
        <v>1584</v>
      </c>
      <c r="M211" t="s">
        <v>1585</v>
      </c>
      <c r="N211" t="s">
        <v>482</v>
      </c>
      <c r="O211" t="s">
        <v>48</v>
      </c>
      <c r="P211" t="s">
        <v>49</v>
      </c>
      <c r="Q211" t="s">
        <v>1004</v>
      </c>
      <c r="R211" t="s">
        <v>483</v>
      </c>
    </row>
    <row r="212" spans="1:18" ht="20" customHeight="1">
      <c r="A212" t="s">
        <v>42</v>
      </c>
      <c r="B212" t="s">
        <v>299</v>
      </c>
      <c r="C212" t="s">
        <v>175</v>
      </c>
      <c r="D212" t="s">
        <v>1026</v>
      </c>
      <c r="E212" t="s">
        <v>342</v>
      </c>
      <c r="F212" t="s">
        <v>178</v>
      </c>
      <c r="G212" t="s">
        <v>1586</v>
      </c>
      <c r="H212" t="s">
        <v>44</v>
      </c>
      <c r="I212" t="s">
        <v>1028</v>
      </c>
      <c r="J212" t="s">
        <v>1028</v>
      </c>
      <c r="K212" t="s">
        <v>1028</v>
      </c>
      <c r="L212" t="s">
        <v>1587</v>
      </c>
      <c r="M212" t="s">
        <v>1588</v>
      </c>
      <c r="N212" t="s">
        <v>486</v>
      </c>
      <c r="O212" t="s">
        <v>48</v>
      </c>
      <c r="P212" t="s">
        <v>49</v>
      </c>
      <c r="Q212" t="s">
        <v>1004</v>
      </c>
      <c r="R212" t="s">
        <v>487</v>
      </c>
    </row>
    <row r="213" spans="1:18" ht="20" customHeight="1">
      <c r="A213" t="s">
        <v>42</v>
      </c>
      <c r="B213" t="s">
        <v>80</v>
      </c>
      <c r="C213" t="s">
        <v>35</v>
      </c>
      <c r="D213" t="s">
        <v>1031</v>
      </c>
      <c r="E213" t="s">
        <v>35</v>
      </c>
      <c r="F213" t="s">
        <v>120</v>
      </c>
      <c r="G213" t="s">
        <v>1589</v>
      </c>
      <c r="H213" t="s">
        <v>44</v>
      </c>
      <c r="I213" t="s">
        <v>44</v>
      </c>
      <c r="J213" t="s">
        <v>44</v>
      </c>
      <c r="K213" t="s">
        <v>1028</v>
      </c>
      <c r="L213" t="s">
        <v>1590</v>
      </c>
      <c r="M213" t="s">
        <v>1591</v>
      </c>
      <c r="N213" t="s">
        <v>117</v>
      </c>
      <c r="O213" t="s">
        <v>36</v>
      </c>
      <c r="P213" t="s">
        <v>37</v>
      </c>
      <c r="Q213" t="s">
        <v>1006</v>
      </c>
      <c r="R213" t="s">
        <v>118</v>
      </c>
    </row>
    <row r="214" spans="1:18" ht="20" customHeight="1">
      <c r="A214" t="s">
        <v>42</v>
      </c>
      <c r="B214" t="s">
        <v>299</v>
      </c>
      <c r="C214" t="s">
        <v>35</v>
      </c>
      <c r="D214" t="s">
        <v>1031</v>
      </c>
      <c r="E214" t="s">
        <v>35</v>
      </c>
      <c r="F214" t="s">
        <v>492</v>
      </c>
      <c r="G214" t="s">
        <v>1592</v>
      </c>
      <c r="H214" t="s">
        <v>44</v>
      </c>
      <c r="I214" t="s">
        <v>1028</v>
      </c>
      <c r="J214" t="s">
        <v>1028</v>
      </c>
      <c r="K214" t="s">
        <v>1028</v>
      </c>
      <c r="L214" t="s">
        <v>1593</v>
      </c>
      <c r="M214" t="s">
        <v>1594</v>
      </c>
      <c r="N214" t="s">
        <v>489</v>
      </c>
      <c r="O214" t="s">
        <v>48</v>
      </c>
      <c r="P214" t="s">
        <v>49</v>
      </c>
      <c r="Q214" t="s">
        <v>1004</v>
      </c>
      <c r="R214" t="s">
        <v>490</v>
      </c>
    </row>
    <row r="215" spans="1:18" ht="20" customHeight="1">
      <c r="A215" t="s">
        <v>42</v>
      </c>
      <c r="B215" t="s">
        <v>101</v>
      </c>
      <c r="C215" t="s">
        <v>35</v>
      </c>
      <c r="D215" t="s">
        <v>1031</v>
      </c>
      <c r="E215" t="s">
        <v>35</v>
      </c>
      <c r="F215" t="s">
        <v>783</v>
      </c>
      <c r="G215" t="s">
        <v>1595</v>
      </c>
      <c r="H215" t="s">
        <v>44</v>
      </c>
      <c r="I215" t="s">
        <v>44</v>
      </c>
      <c r="J215" t="s">
        <v>44</v>
      </c>
      <c r="K215" t="s">
        <v>1028</v>
      </c>
      <c r="L215" t="s">
        <v>1596</v>
      </c>
      <c r="M215" t="s">
        <v>1597</v>
      </c>
      <c r="N215" t="s">
        <v>780</v>
      </c>
      <c r="O215" t="s">
        <v>432</v>
      </c>
      <c r="P215" t="s">
        <v>432</v>
      </c>
      <c r="Q215" t="s">
        <v>1004</v>
      </c>
      <c r="R215" t="s">
        <v>781</v>
      </c>
    </row>
    <row r="216" spans="1:18" ht="20" customHeight="1">
      <c r="A216" t="s">
        <v>42</v>
      </c>
      <c r="B216" t="s">
        <v>38</v>
      </c>
      <c r="D216" t="s">
        <v>1031</v>
      </c>
      <c r="E216" t="s">
        <v>35</v>
      </c>
      <c r="F216" t="s">
        <v>786</v>
      </c>
      <c r="G216" t="s">
        <v>1598</v>
      </c>
      <c r="H216" t="s">
        <v>44</v>
      </c>
      <c r="I216" t="s">
        <v>44</v>
      </c>
      <c r="J216" t="s">
        <v>44</v>
      </c>
      <c r="K216" t="s">
        <v>44</v>
      </c>
      <c r="L216" t="s">
        <v>1599</v>
      </c>
      <c r="M216" t="s">
        <v>1600</v>
      </c>
      <c r="N216" t="s">
        <v>951</v>
      </c>
      <c r="O216" t="s">
        <v>132</v>
      </c>
      <c r="P216" t="s">
        <v>68</v>
      </c>
      <c r="Q216" t="s">
        <v>1004</v>
      </c>
      <c r="R216" t="s">
        <v>138</v>
      </c>
    </row>
    <row r="217" spans="1:18" ht="20" customHeight="1">
      <c r="A217" t="s">
        <v>42</v>
      </c>
      <c r="B217" t="s">
        <v>38</v>
      </c>
      <c r="D217" t="s">
        <v>1031</v>
      </c>
      <c r="E217" t="s">
        <v>35</v>
      </c>
      <c r="F217" t="s">
        <v>786</v>
      </c>
      <c r="G217" t="s">
        <v>1601</v>
      </c>
      <c r="H217" t="s">
        <v>44</v>
      </c>
      <c r="I217" t="s">
        <v>44</v>
      </c>
      <c r="J217" t="s">
        <v>44</v>
      </c>
      <c r="K217" t="s">
        <v>44</v>
      </c>
      <c r="L217" t="s">
        <v>1602</v>
      </c>
      <c r="M217" t="s">
        <v>1603</v>
      </c>
      <c r="N217" t="s">
        <v>964</v>
      </c>
      <c r="O217" t="s">
        <v>132</v>
      </c>
      <c r="P217" t="s">
        <v>68</v>
      </c>
      <c r="Q217" t="s">
        <v>1004</v>
      </c>
      <c r="R217" t="s">
        <v>138</v>
      </c>
    </row>
    <row r="218" spans="1:18" ht="20" customHeight="1">
      <c r="A218" t="s">
        <v>42</v>
      </c>
      <c r="B218" t="s">
        <v>50</v>
      </c>
      <c r="C218" t="s">
        <v>35</v>
      </c>
      <c r="D218" t="s">
        <v>1031</v>
      </c>
      <c r="E218" t="s">
        <v>35</v>
      </c>
      <c r="F218" t="s">
        <v>125</v>
      </c>
      <c r="G218" t="s">
        <v>1604</v>
      </c>
      <c r="H218" t="s">
        <v>44</v>
      </c>
      <c r="I218" t="s">
        <v>44</v>
      </c>
      <c r="J218" t="s">
        <v>44</v>
      </c>
      <c r="K218" t="s">
        <v>1028</v>
      </c>
      <c r="L218" t="s">
        <v>1605</v>
      </c>
      <c r="M218" t="s">
        <v>1606</v>
      </c>
      <c r="N218" t="s">
        <v>121</v>
      </c>
      <c r="O218" t="s">
        <v>122</v>
      </c>
      <c r="P218" t="s">
        <v>49</v>
      </c>
      <c r="Q218" t="s">
        <v>1004</v>
      </c>
      <c r="R218" t="s">
        <v>123</v>
      </c>
    </row>
    <row r="219" spans="1:18" ht="20" customHeight="1">
      <c r="A219" t="s">
        <v>42</v>
      </c>
      <c r="B219" t="s">
        <v>127</v>
      </c>
      <c r="D219" t="s">
        <v>1031</v>
      </c>
      <c r="E219" t="s">
        <v>35</v>
      </c>
      <c r="F219" t="s">
        <v>130</v>
      </c>
      <c r="G219" t="s">
        <v>1491</v>
      </c>
      <c r="H219" t="s">
        <v>44</v>
      </c>
      <c r="I219" t="s">
        <v>1028</v>
      </c>
      <c r="J219" t="s">
        <v>1028</v>
      </c>
      <c r="K219" t="s">
        <v>1028</v>
      </c>
      <c r="L219" t="s">
        <v>1492</v>
      </c>
      <c r="M219" t="s">
        <v>1607</v>
      </c>
      <c r="N219" t="s">
        <v>126</v>
      </c>
      <c r="O219" t="s">
        <v>48</v>
      </c>
      <c r="P219" t="s">
        <v>69</v>
      </c>
      <c r="Q219" t="s">
        <v>1004</v>
      </c>
      <c r="R219" t="s">
        <v>128</v>
      </c>
    </row>
    <row r="220" spans="1:18" ht="20" customHeight="1">
      <c r="A220" t="s">
        <v>42</v>
      </c>
      <c r="B220" t="s">
        <v>80</v>
      </c>
      <c r="D220" t="s">
        <v>1031</v>
      </c>
      <c r="E220" t="s">
        <v>35</v>
      </c>
      <c r="F220" t="s">
        <v>496</v>
      </c>
      <c r="G220" t="s">
        <v>1608</v>
      </c>
      <c r="H220" t="s">
        <v>44</v>
      </c>
      <c r="I220" t="s">
        <v>1028</v>
      </c>
      <c r="J220" t="s">
        <v>1028</v>
      </c>
      <c r="K220" t="s">
        <v>1028</v>
      </c>
      <c r="L220" t="s">
        <v>1609</v>
      </c>
      <c r="M220" t="s">
        <v>1610</v>
      </c>
      <c r="N220" t="s">
        <v>493</v>
      </c>
      <c r="O220" t="s">
        <v>48</v>
      </c>
      <c r="P220" t="s">
        <v>69</v>
      </c>
      <c r="Q220" t="s">
        <v>1005</v>
      </c>
      <c r="R220" t="s">
        <v>494</v>
      </c>
    </row>
    <row r="221" spans="1:18" ht="20" customHeight="1">
      <c r="A221" t="s">
        <v>42</v>
      </c>
      <c r="B221" t="s">
        <v>80</v>
      </c>
      <c r="C221" t="s">
        <v>175</v>
      </c>
      <c r="D221" t="s">
        <v>1026</v>
      </c>
      <c r="E221" t="s">
        <v>342</v>
      </c>
      <c r="F221" t="s">
        <v>499</v>
      </c>
      <c r="G221" t="s">
        <v>1611</v>
      </c>
      <c r="H221" t="s">
        <v>44</v>
      </c>
      <c r="I221" t="s">
        <v>44</v>
      </c>
      <c r="J221" t="s">
        <v>44</v>
      </c>
      <c r="K221" t="s">
        <v>1028</v>
      </c>
      <c r="L221" t="s">
        <v>1612</v>
      </c>
      <c r="M221" t="s">
        <v>1613</v>
      </c>
      <c r="N221" t="s">
        <v>497</v>
      </c>
      <c r="O221" t="s">
        <v>122</v>
      </c>
      <c r="P221" t="s">
        <v>69</v>
      </c>
      <c r="Q221" t="s">
        <v>1004</v>
      </c>
      <c r="R221" t="s">
        <v>494</v>
      </c>
    </row>
    <row r="222" spans="1:18" ht="20" customHeight="1">
      <c r="A222" t="s">
        <v>42</v>
      </c>
      <c r="B222" t="s">
        <v>80</v>
      </c>
      <c r="C222" t="s">
        <v>35</v>
      </c>
      <c r="D222" t="s">
        <v>1031</v>
      </c>
      <c r="E222" t="s">
        <v>35</v>
      </c>
      <c r="F222" t="s">
        <v>135</v>
      </c>
      <c r="G222" t="s">
        <v>1089</v>
      </c>
      <c r="H222" t="s">
        <v>44</v>
      </c>
      <c r="I222" t="s">
        <v>44</v>
      </c>
      <c r="J222" t="s">
        <v>44</v>
      </c>
      <c r="K222" t="s">
        <v>44</v>
      </c>
      <c r="L222" t="s">
        <v>1090</v>
      </c>
      <c r="M222" t="s">
        <v>1614</v>
      </c>
      <c r="N222" t="s">
        <v>131</v>
      </c>
      <c r="O222" t="s">
        <v>132</v>
      </c>
      <c r="P222" t="s">
        <v>49</v>
      </c>
      <c r="Q222" t="s">
        <v>1004</v>
      </c>
      <c r="R222" t="s">
        <v>133</v>
      </c>
    </row>
    <row r="223" spans="1:18" ht="20" customHeight="1">
      <c r="A223" t="s">
        <v>42</v>
      </c>
      <c r="B223" t="s">
        <v>80</v>
      </c>
      <c r="D223" t="s">
        <v>1031</v>
      </c>
      <c r="E223" t="s">
        <v>35</v>
      </c>
      <c r="F223" t="s">
        <v>503</v>
      </c>
      <c r="G223" t="s">
        <v>1615</v>
      </c>
      <c r="H223" t="s">
        <v>44</v>
      </c>
      <c r="I223" t="s">
        <v>44</v>
      </c>
      <c r="J223" t="s">
        <v>44</v>
      </c>
      <c r="K223" t="s">
        <v>1028</v>
      </c>
      <c r="L223" t="s">
        <v>1616</v>
      </c>
      <c r="M223" t="s">
        <v>1617</v>
      </c>
      <c r="N223" t="s">
        <v>500</v>
      </c>
      <c r="O223" t="s">
        <v>122</v>
      </c>
      <c r="P223" t="s">
        <v>49</v>
      </c>
      <c r="Q223" t="s">
        <v>1004</v>
      </c>
      <c r="R223" t="s">
        <v>501</v>
      </c>
    </row>
    <row r="224" spans="1:18" ht="20" customHeight="1">
      <c r="A224" t="s">
        <v>42</v>
      </c>
      <c r="B224" t="s">
        <v>80</v>
      </c>
      <c r="D224" t="s">
        <v>1031</v>
      </c>
      <c r="E224" t="s">
        <v>35</v>
      </c>
      <c r="F224" t="s">
        <v>507</v>
      </c>
      <c r="G224" t="s">
        <v>1618</v>
      </c>
      <c r="H224" t="s">
        <v>44</v>
      </c>
      <c r="I224" t="s">
        <v>44</v>
      </c>
      <c r="J224" t="s">
        <v>44</v>
      </c>
      <c r="K224" t="s">
        <v>1028</v>
      </c>
      <c r="L224" t="s">
        <v>1619</v>
      </c>
      <c r="M224" t="s">
        <v>1620</v>
      </c>
      <c r="N224" t="s">
        <v>504</v>
      </c>
      <c r="O224" t="s">
        <v>122</v>
      </c>
      <c r="P224" t="s">
        <v>49</v>
      </c>
      <c r="Q224" t="s">
        <v>1005</v>
      </c>
      <c r="R224" t="s">
        <v>505</v>
      </c>
    </row>
    <row r="225" spans="1:18" ht="20" customHeight="1">
      <c r="A225" t="s">
        <v>42</v>
      </c>
      <c r="B225" t="s">
        <v>50</v>
      </c>
      <c r="D225" t="s">
        <v>1031</v>
      </c>
      <c r="E225" t="s">
        <v>35</v>
      </c>
      <c r="F225" t="s">
        <v>511</v>
      </c>
      <c r="G225" t="s">
        <v>1621</v>
      </c>
      <c r="H225" t="s">
        <v>44</v>
      </c>
      <c r="I225" t="s">
        <v>1028</v>
      </c>
      <c r="J225" t="s">
        <v>1028</v>
      </c>
      <c r="K225" t="s">
        <v>1028</v>
      </c>
      <c r="L225" t="s">
        <v>1622</v>
      </c>
      <c r="M225" t="s">
        <v>1623</v>
      </c>
      <c r="N225" t="s">
        <v>508</v>
      </c>
      <c r="O225" t="s">
        <v>48</v>
      </c>
      <c r="P225" t="s">
        <v>49</v>
      </c>
      <c r="Q225" t="s">
        <v>1004</v>
      </c>
      <c r="R225" t="s">
        <v>509</v>
      </c>
    </row>
    <row r="226" spans="1:18" ht="20" customHeight="1">
      <c r="A226" t="s">
        <v>42</v>
      </c>
      <c r="B226" t="s">
        <v>80</v>
      </c>
      <c r="C226" t="s">
        <v>35</v>
      </c>
      <c r="D226" t="s">
        <v>1031</v>
      </c>
      <c r="E226" t="s">
        <v>35</v>
      </c>
      <c r="F226" t="s">
        <v>932</v>
      </c>
      <c r="G226" t="s">
        <v>1624</v>
      </c>
      <c r="H226" t="s">
        <v>44</v>
      </c>
      <c r="I226" t="s">
        <v>1028</v>
      </c>
      <c r="J226" t="s">
        <v>1028</v>
      </c>
      <c r="K226" t="s">
        <v>1028</v>
      </c>
      <c r="L226" t="s">
        <v>1625</v>
      </c>
      <c r="M226" t="s">
        <v>1626</v>
      </c>
      <c r="N226" t="s">
        <v>929</v>
      </c>
      <c r="O226" t="s">
        <v>48</v>
      </c>
      <c r="P226" t="s">
        <v>69</v>
      </c>
      <c r="Q226" t="s">
        <v>1004</v>
      </c>
      <c r="R226" t="s">
        <v>930</v>
      </c>
    </row>
    <row r="227" spans="1:18" ht="20" customHeight="1">
      <c r="A227" t="s">
        <v>42</v>
      </c>
      <c r="B227" t="s">
        <v>57</v>
      </c>
      <c r="C227" t="s">
        <v>35</v>
      </c>
      <c r="D227" t="s">
        <v>1031</v>
      </c>
      <c r="E227" t="s">
        <v>35</v>
      </c>
      <c r="F227" t="s">
        <v>786</v>
      </c>
      <c r="G227" t="s">
        <v>1627</v>
      </c>
      <c r="H227" t="s">
        <v>44</v>
      </c>
      <c r="I227" t="s">
        <v>44</v>
      </c>
      <c r="J227" t="s">
        <v>44</v>
      </c>
      <c r="K227" t="s">
        <v>44</v>
      </c>
      <c r="L227" t="s">
        <v>1628</v>
      </c>
      <c r="M227" t="s">
        <v>1629</v>
      </c>
      <c r="N227" t="s">
        <v>784</v>
      </c>
      <c r="O227" t="s">
        <v>132</v>
      </c>
      <c r="P227" t="s">
        <v>68</v>
      </c>
      <c r="Q227" t="s">
        <v>1004</v>
      </c>
      <c r="R227" t="s">
        <v>107</v>
      </c>
    </row>
    <row r="228" spans="1:18" ht="20" customHeight="1">
      <c r="A228" t="s">
        <v>42</v>
      </c>
      <c r="B228" t="s">
        <v>50</v>
      </c>
      <c r="C228" t="s">
        <v>35</v>
      </c>
      <c r="D228" t="s">
        <v>1031</v>
      </c>
      <c r="E228" t="s">
        <v>35</v>
      </c>
      <c r="F228" t="s">
        <v>514</v>
      </c>
      <c r="G228" t="s">
        <v>1386</v>
      </c>
      <c r="H228" t="s">
        <v>44</v>
      </c>
      <c r="I228" t="s">
        <v>44</v>
      </c>
      <c r="J228" t="s">
        <v>44</v>
      </c>
      <c r="K228" t="s">
        <v>1028</v>
      </c>
      <c r="L228" t="s">
        <v>1387</v>
      </c>
      <c r="M228" t="s">
        <v>1630</v>
      </c>
      <c r="N228" t="s">
        <v>512</v>
      </c>
      <c r="O228" t="s">
        <v>122</v>
      </c>
      <c r="P228" t="s">
        <v>69</v>
      </c>
      <c r="Q228" t="s">
        <v>1004</v>
      </c>
      <c r="R228" t="s">
        <v>483</v>
      </c>
    </row>
    <row r="229" spans="1:18" ht="20" customHeight="1">
      <c r="A229" t="s">
        <v>42</v>
      </c>
      <c r="B229" t="s">
        <v>38</v>
      </c>
      <c r="D229" t="s">
        <v>1031</v>
      </c>
      <c r="E229" t="s">
        <v>35</v>
      </c>
      <c r="F229" t="s">
        <v>140</v>
      </c>
      <c r="G229" t="s">
        <v>1631</v>
      </c>
      <c r="H229" t="s">
        <v>44</v>
      </c>
      <c r="I229" t="s">
        <v>1028</v>
      </c>
      <c r="J229" t="s">
        <v>1028</v>
      </c>
      <c r="K229" t="s">
        <v>1028</v>
      </c>
      <c r="L229" t="s">
        <v>1632</v>
      </c>
      <c r="M229" t="s">
        <v>1633</v>
      </c>
      <c r="N229" t="s">
        <v>137</v>
      </c>
      <c r="O229" t="s">
        <v>48</v>
      </c>
      <c r="P229" t="s">
        <v>49</v>
      </c>
      <c r="Q229" t="s">
        <v>1005</v>
      </c>
      <c r="R229" t="s">
        <v>138</v>
      </c>
    </row>
    <row r="230" spans="1:18" ht="20" customHeight="1">
      <c r="A230" t="s">
        <v>42</v>
      </c>
      <c r="B230" t="s">
        <v>80</v>
      </c>
      <c r="D230" t="s">
        <v>1031</v>
      </c>
      <c r="E230" t="s">
        <v>35</v>
      </c>
      <c r="F230" t="s">
        <v>144</v>
      </c>
      <c r="G230" t="s">
        <v>1368</v>
      </c>
      <c r="H230" t="s">
        <v>44</v>
      </c>
      <c r="I230" t="s">
        <v>44</v>
      </c>
      <c r="J230" t="s">
        <v>44</v>
      </c>
      <c r="K230" t="s">
        <v>1028</v>
      </c>
      <c r="L230" t="s">
        <v>1369</v>
      </c>
      <c r="M230" t="s">
        <v>1634</v>
      </c>
      <c r="N230" t="s">
        <v>141</v>
      </c>
      <c r="O230" t="s">
        <v>142</v>
      </c>
      <c r="P230" t="s">
        <v>69</v>
      </c>
      <c r="Q230" t="s">
        <v>1004</v>
      </c>
      <c r="R230" t="s">
        <v>133</v>
      </c>
    </row>
    <row r="231" spans="1:18" ht="20" customHeight="1">
      <c r="A231" t="s">
        <v>42</v>
      </c>
      <c r="B231" t="s">
        <v>50</v>
      </c>
      <c r="C231" t="s">
        <v>35</v>
      </c>
      <c r="D231" t="s">
        <v>1031</v>
      </c>
      <c r="E231" t="s">
        <v>35</v>
      </c>
      <c r="F231" t="s">
        <v>790</v>
      </c>
      <c r="G231" t="s">
        <v>1635</v>
      </c>
      <c r="H231" t="s">
        <v>44</v>
      </c>
      <c r="I231" t="s">
        <v>44</v>
      </c>
      <c r="J231" t="s">
        <v>44</v>
      </c>
      <c r="K231" t="s">
        <v>44</v>
      </c>
      <c r="L231" t="s">
        <v>1636</v>
      </c>
      <c r="M231" t="s">
        <v>1637</v>
      </c>
      <c r="N231" t="s">
        <v>787</v>
      </c>
      <c r="O231" t="s">
        <v>132</v>
      </c>
      <c r="P231" t="s">
        <v>68</v>
      </c>
      <c r="Q231" t="s">
        <v>1004</v>
      </c>
      <c r="R231" t="s">
        <v>788</v>
      </c>
    </row>
    <row r="232" spans="1:18" ht="20" customHeight="1">
      <c r="A232" t="s">
        <v>42</v>
      </c>
      <c r="B232" t="s">
        <v>57</v>
      </c>
      <c r="C232" t="s">
        <v>35</v>
      </c>
      <c r="D232" t="s">
        <v>1031</v>
      </c>
      <c r="E232" t="s">
        <v>35</v>
      </c>
      <c r="F232" t="s">
        <v>790</v>
      </c>
      <c r="G232" t="s">
        <v>1638</v>
      </c>
      <c r="H232" t="s">
        <v>44</v>
      </c>
      <c r="I232" t="s">
        <v>44</v>
      </c>
      <c r="J232" t="s">
        <v>44</v>
      </c>
      <c r="K232" t="s">
        <v>44</v>
      </c>
      <c r="L232" t="s">
        <v>1639</v>
      </c>
      <c r="M232" t="s">
        <v>1640</v>
      </c>
      <c r="N232" t="s">
        <v>966</v>
      </c>
      <c r="O232" t="s">
        <v>132</v>
      </c>
      <c r="P232" t="s">
        <v>68</v>
      </c>
      <c r="Q232" t="s">
        <v>1004</v>
      </c>
      <c r="R232" t="s">
        <v>967</v>
      </c>
    </row>
    <row r="233" spans="1:18" ht="20" customHeight="1">
      <c r="A233" t="s">
        <v>42</v>
      </c>
      <c r="B233" t="s">
        <v>75</v>
      </c>
      <c r="D233" t="s">
        <v>1031</v>
      </c>
      <c r="E233" t="s">
        <v>35</v>
      </c>
      <c r="F233" t="s">
        <v>518</v>
      </c>
      <c r="G233" t="s">
        <v>1641</v>
      </c>
      <c r="H233" t="s">
        <v>44</v>
      </c>
      <c r="I233" t="s">
        <v>44</v>
      </c>
      <c r="J233" t="s">
        <v>44</v>
      </c>
      <c r="K233" t="s">
        <v>1028</v>
      </c>
      <c r="L233" t="s">
        <v>1642</v>
      </c>
      <c r="M233" t="s">
        <v>1643</v>
      </c>
      <c r="N233" t="s">
        <v>515</v>
      </c>
      <c r="O233" t="s">
        <v>122</v>
      </c>
      <c r="P233" t="s">
        <v>49</v>
      </c>
      <c r="Q233" t="s">
        <v>1004</v>
      </c>
      <c r="R233" t="s">
        <v>516</v>
      </c>
    </row>
    <row r="234" spans="1:18" ht="20" customHeight="1">
      <c r="A234" t="s">
        <v>42</v>
      </c>
      <c r="B234" t="s">
        <v>375</v>
      </c>
      <c r="C234" t="s">
        <v>175</v>
      </c>
      <c r="D234" t="s">
        <v>1031</v>
      </c>
      <c r="E234" t="s">
        <v>35</v>
      </c>
      <c r="F234" t="s">
        <v>972</v>
      </c>
      <c r="G234" t="s">
        <v>1644</v>
      </c>
      <c r="H234" t="s">
        <v>44</v>
      </c>
      <c r="I234" t="s">
        <v>44</v>
      </c>
      <c r="J234" t="s">
        <v>44</v>
      </c>
      <c r="K234" t="s">
        <v>1028</v>
      </c>
      <c r="L234" t="s">
        <v>1645</v>
      </c>
      <c r="M234" t="s">
        <v>1646</v>
      </c>
      <c r="N234" t="s">
        <v>969</v>
      </c>
      <c r="O234" t="s">
        <v>122</v>
      </c>
      <c r="P234" t="s">
        <v>69</v>
      </c>
      <c r="Q234" t="s">
        <v>1004</v>
      </c>
      <c r="R234" t="s">
        <v>970</v>
      </c>
    </row>
    <row r="235" spans="1:18" ht="20" customHeight="1">
      <c r="A235" t="s">
        <v>42</v>
      </c>
      <c r="B235" t="s">
        <v>38</v>
      </c>
      <c r="D235" t="s">
        <v>1031</v>
      </c>
      <c r="E235" t="s">
        <v>35</v>
      </c>
      <c r="F235" t="s">
        <v>43</v>
      </c>
      <c r="G235" t="s">
        <v>1647</v>
      </c>
      <c r="H235" t="s">
        <v>44</v>
      </c>
      <c r="I235" t="s">
        <v>44</v>
      </c>
      <c r="J235" t="s">
        <v>44</v>
      </c>
      <c r="K235" t="s">
        <v>1028</v>
      </c>
      <c r="L235" t="s">
        <v>1648</v>
      </c>
      <c r="M235" t="s">
        <v>1649</v>
      </c>
      <c r="N235" t="s">
        <v>32</v>
      </c>
      <c r="O235" t="s">
        <v>36</v>
      </c>
      <c r="P235" t="s">
        <v>37</v>
      </c>
      <c r="Q235" t="s">
        <v>1005</v>
      </c>
      <c r="R235" t="s">
        <v>39</v>
      </c>
    </row>
    <row r="236" spans="1:18" ht="20" customHeight="1">
      <c r="A236" t="s">
        <v>42</v>
      </c>
      <c r="B236" t="s">
        <v>57</v>
      </c>
      <c r="D236" t="s">
        <v>1031</v>
      </c>
      <c r="E236" t="s">
        <v>35</v>
      </c>
      <c r="F236" t="s">
        <v>521</v>
      </c>
      <c r="G236" t="s">
        <v>1650</v>
      </c>
      <c r="H236" t="s">
        <v>44</v>
      </c>
      <c r="I236" t="s">
        <v>44</v>
      </c>
      <c r="J236" t="s">
        <v>44</v>
      </c>
      <c r="K236" t="s">
        <v>1028</v>
      </c>
      <c r="L236" t="s">
        <v>1651</v>
      </c>
      <c r="M236" t="s">
        <v>1652</v>
      </c>
      <c r="N236" t="s">
        <v>519</v>
      </c>
      <c r="O236" t="s">
        <v>122</v>
      </c>
      <c r="P236" t="s">
        <v>49</v>
      </c>
      <c r="Q236" t="s">
        <v>1005</v>
      </c>
      <c r="R236" t="s">
        <v>160</v>
      </c>
    </row>
    <row r="237" spans="1:18" ht="20" customHeight="1">
      <c r="A237" t="s">
        <v>42</v>
      </c>
      <c r="B237" t="s">
        <v>50</v>
      </c>
      <c r="D237" t="s">
        <v>1031</v>
      </c>
      <c r="E237" t="s">
        <v>35</v>
      </c>
      <c r="F237" t="s">
        <v>794</v>
      </c>
      <c r="G237" t="s">
        <v>1653</v>
      </c>
      <c r="H237" t="s">
        <v>44</v>
      </c>
      <c r="I237" t="s">
        <v>44</v>
      </c>
      <c r="J237" t="s">
        <v>44</v>
      </c>
      <c r="K237" t="s">
        <v>44</v>
      </c>
      <c r="L237" t="s">
        <v>1654</v>
      </c>
      <c r="M237" t="s">
        <v>1655</v>
      </c>
      <c r="N237" t="s">
        <v>791</v>
      </c>
      <c r="O237" t="s">
        <v>132</v>
      </c>
      <c r="P237" t="s">
        <v>68</v>
      </c>
      <c r="Q237" t="s">
        <v>1004</v>
      </c>
      <c r="R237" t="s">
        <v>792</v>
      </c>
    </row>
    <row r="238" spans="1:18" ht="20" customHeight="1">
      <c r="A238" t="s">
        <v>42</v>
      </c>
      <c r="B238" t="s">
        <v>50</v>
      </c>
      <c r="C238" t="s">
        <v>35</v>
      </c>
      <c r="D238" t="s">
        <v>1031</v>
      </c>
      <c r="E238" t="s">
        <v>35</v>
      </c>
      <c r="F238" t="s">
        <v>797</v>
      </c>
      <c r="G238" t="s">
        <v>1656</v>
      </c>
      <c r="H238" t="s">
        <v>44</v>
      </c>
      <c r="I238" t="s">
        <v>44</v>
      </c>
      <c r="J238" t="s">
        <v>44</v>
      </c>
      <c r="K238" t="s">
        <v>44</v>
      </c>
      <c r="L238" t="s">
        <v>1657</v>
      </c>
      <c r="M238" t="s">
        <v>1658</v>
      </c>
      <c r="N238" t="s">
        <v>795</v>
      </c>
      <c r="O238" t="s">
        <v>132</v>
      </c>
      <c r="P238" t="s">
        <v>68</v>
      </c>
      <c r="Q238" t="s">
        <v>1004</v>
      </c>
      <c r="R238" t="s">
        <v>792</v>
      </c>
    </row>
    <row r="239" spans="1:18" ht="20" customHeight="1">
      <c r="A239" t="s">
        <v>42</v>
      </c>
      <c r="B239" t="s">
        <v>80</v>
      </c>
      <c r="D239" t="s">
        <v>1031</v>
      </c>
      <c r="E239" t="s">
        <v>35</v>
      </c>
      <c r="F239" t="s">
        <v>524</v>
      </c>
      <c r="G239" t="s">
        <v>1659</v>
      </c>
      <c r="H239" t="s">
        <v>44</v>
      </c>
      <c r="I239" t="s">
        <v>44</v>
      </c>
      <c r="J239" t="s">
        <v>44</v>
      </c>
      <c r="K239" t="s">
        <v>1028</v>
      </c>
      <c r="L239" t="s">
        <v>1660</v>
      </c>
      <c r="M239" t="s">
        <v>1661</v>
      </c>
      <c r="N239" t="s">
        <v>522</v>
      </c>
      <c r="O239" t="s">
        <v>68</v>
      </c>
      <c r="P239" t="s">
        <v>69</v>
      </c>
      <c r="Q239" t="s">
        <v>1004</v>
      </c>
      <c r="R239" t="s">
        <v>164</v>
      </c>
    </row>
    <row r="240" spans="1:18" ht="20" customHeight="1">
      <c r="A240" t="s">
        <v>42</v>
      </c>
      <c r="B240" t="s">
        <v>80</v>
      </c>
      <c r="D240" t="s">
        <v>1031</v>
      </c>
      <c r="E240" t="s">
        <v>35</v>
      </c>
      <c r="F240" t="s">
        <v>527</v>
      </c>
      <c r="G240" t="s">
        <v>1038</v>
      </c>
      <c r="H240" t="s">
        <v>44</v>
      </c>
      <c r="I240" t="s">
        <v>44</v>
      </c>
      <c r="J240" t="s">
        <v>44</v>
      </c>
      <c r="K240" t="s">
        <v>1028</v>
      </c>
      <c r="L240" t="s">
        <v>1039</v>
      </c>
      <c r="M240" t="s">
        <v>1662</v>
      </c>
      <c r="N240" t="s">
        <v>525</v>
      </c>
      <c r="O240" t="s">
        <v>122</v>
      </c>
      <c r="P240" t="s">
        <v>49</v>
      </c>
      <c r="Q240" t="s">
        <v>1005</v>
      </c>
      <c r="R240" t="s">
        <v>249</v>
      </c>
    </row>
    <row r="241" spans="1:18" ht="20" customHeight="1">
      <c r="A241" t="s">
        <v>42</v>
      </c>
      <c r="B241" t="s">
        <v>50</v>
      </c>
      <c r="C241" t="s">
        <v>35</v>
      </c>
      <c r="D241" t="s">
        <v>1031</v>
      </c>
      <c r="E241" t="s">
        <v>35</v>
      </c>
      <c r="F241" t="s">
        <v>976</v>
      </c>
      <c r="G241" t="s">
        <v>1663</v>
      </c>
      <c r="H241" t="s">
        <v>44</v>
      </c>
      <c r="I241" t="s">
        <v>44</v>
      </c>
      <c r="J241" t="s">
        <v>44</v>
      </c>
      <c r="K241" t="s">
        <v>44</v>
      </c>
      <c r="L241" t="s">
        <v>1664</v>
      </c>
      <c r="M241" t="s">
        <v>1665</v>
      </c>
      <c r="N241" t="s">
        <v>973</v>
      </c>
      <c r="O241" t="s">
        <v>132</v>
      </c>
      <c r="P241" t="s">
        <v>68</v>
      </c>
      <c r="Q241" t="s">
        <v>1004</v>
      </c>
      <c r="R241" t="s">
        <v>974</v>
      </c>
    </row>
    <row r="242" spans="1:18" ht="20" customHeight="1">
      <c r="A242" t="s">
        <v>42</v>
      </c>
      <c r="B242" t="s">
        <v>50</v>
      </c>
      <c r="C242" t="s">
        <v>175</v>
      </c>
      <c r="D242" t="s">
        <v>1031</v>
      </c>
      <c r="E242" t="s">
        <v>35</v>
      </c>
      <c r="F242" t="s">
        <v>531</v>
      </c>
      <c r="G242" t="s">
        <v>1666</v>
      </c>
      <c r="H242" t="s">
        <v>44</v>
      </c>
      <c r="I242" t="s">
        <v>44</v>
      </c>
      <c r="J242" t="s">
        <v>44</v>
      </c>
      <c r="K242" t="s">
        <v>1028</v>
      </c>
      <c r="L242" t="s">
        <v>1667</v>
      </c>
      <c r="M242" t="s">
        <v>1668</v>
      </c>
      <c r="N242" t="s">
        <v>528</v>
      </c>
      <c r="O242" t="s">
        <v>68</v>
      </c>
      <c r="P242" t="s">
        <v>49</v>
      </c>
      <c r="Q242" t="s">
        <v>1004</v>
      </c>
      <c r="R242" t="s">
        <v>529</v>
      </c>
    </row>
    <row r="243" spans="1:18" ht="20" customHeight="1">
      <c r="A243" t="s">
        <v>42</v>
      </c>
      <c r="B243" t="s">
        <v>50</v>
      </c>
      <c r="C243" t="s">
        <v>35</v>
      </c>
      <c r="D243" t="s">
        <v>1031</v>
      </c>
      <c r="E243" t="s">
        <v>35</v>
      </c>
      <c r="F243" t="s">
        <v>283</v>
      </c>
      <c r="G243" t="s">
        <v>1669</v>
      </c>
      <c r="H243" t="s">
        <v>44</v>
      </c>
      <c r="I243" t="s">
        <v>44</v>
      </c>
      <c r="J243" t="s">
        <v>44</v>
      </c>
      <c r="K243" t="s">
        <v>44</v>
      </c>
      <c r="L243" t="s">
        <v>1670</v>
      </c>
      <c r="M243" t="s">
        <v>1671</v>
      </c>
      <c r="N243" t="s">
        <v>280</v>
      </c>
      <c r="O243" t="s">
        <v>132</v>
      </c>
      <c r="P243" t="s">
        <v>68</v>
      </c>
      <c r="Q243" t="s">
        <v>1004</v>
      </c>
      <c r="R243" t="s">
        <v>281</v>
      </c>
    </row>
    <row r="244" spans="1:18" ht="20" customHeight="1">
      <c r="A244" t="s">
        <v>42</v>
      </c>
      <c r="B244" t="s">
        <v>50</v>
      </c>
      <c r="C244" t="s">
        <v>35</v>
      </c>
      <c r="D244" t="s">
        <v>1031</v>
      </c>
      <c r="E244" t="s">
        <v>35</v>
      </c>
      <c r="F244" t="s">
        <v>149</v>
      </c>
      <c r="G244" t="s">
        <v>1672</v>
      </c>
      <c r="H244" t="s">
        <v>44</v>
      </c>
      <c r="I244" t="s">
        <v>44</v>
      </c>
      <c r="J244" t="s">
        <v>44</v>
      </c>
      <c r="K244" t="s">
        <v>1028</v>
      </c>
      <c r="L244" t="s">
        <v>1673</v>
      </c>
      <c r="M244" t="s">
        <v>1674</v>
      </c>
      <c r="N244" t="s">
        <v>145</v>
      </c>
      <c r="O244" t="s">
        <v>122</v>
      </c>
      <c r="P244" t="s">
        <v>49</v>
      </c>
      <c r="Q244" t="s">
        <v>1004</v>
      </c>
      <c r="R244" t="s">
        <v>147</v>
      </c>
    </row>
    <row r="245" spans="1:18" ht="20" customHeight="1">
      <c r="A245" t="s">
        <v>42</v>
      </c>
      <c r="B245" t="s">
        <v>38</v>
      </c>
      <c r="D245" t="s">
        <v>1031</v>
      </c>
      <c r="E245" t="s">
        <v>35</v>
      </c>
      <c r="F245" t="s">
        <v>535</v>
      </c>
      <c r="G245" t="s">
        <v>1675</v>
      </c>
      <c r="H245" t="s">
        <v>44</v>
      </c>
      <c r="I245" t="s">
        <v>44</v>
      </c>
      <c r="J245" t="s">
        <v>44</v>
      </c>
      <c r="K245" t="s">
        <v>1028</v>
      </c>
      <c r="L245" t="s">
        <v>1676</v>
      </c>
      <c r="M245" t="s">
        <v>1677</v>
      </c>
      <c r="N245" t="s">
        <v>532</v>
      </c>
      <c r="O245" t="s">
        <v>122</v>
      </c>
      <c r="P245" t="s">
        <v>49</v>
      </c>
      <c r="Q245" t="s">
        <v>1005</v>
      </c>
      <c r="R245" t="s">
        <v>533</v>
      </c>
    </row>
    <row r="246" spans="1:18" ht="20" customHeight="1">
      <c r="A246" t="s">
        <v>42</v>
      </c>
      <c r="B246" t="s">
        <v>101</v>
      </c>
      <c r="C246" t="s">
        <v>35</v>
      </c>
      <c r="D246" t="s">
        <v>1031</v>
      </c>
      <c r="E246" t="s">
        <v>35</v>
      </c>
      <c r="F246" t="s">
        <v>801</v>
      </c>
      <c r="G246" t="s">
        <v>1678</v>
      </c>
      <c r="H246" t="s">
        <v>44</v>
      </c>
      <c r="I246" t="s">
        <v>44</v>
      </c>
      <c r="J246" t="s">
        <v>44</v>
      </c>
      <c r="K246" t="s">
        <v>1028</v>
      </c>
      <c r="L246" t="s">
        <v>1679</v>
      </c>
      <c r="M246" t="s">
        <v>1680</v>
      </c>
      <c r="N246" t="s">
        <v>798</v>
      </c>
      <c r="O246" t="s">
        <v>68</v>
      </c>
      <c r="P246" t="s">
        <v>69</v>
      </c>
      <c r="Q246" t="s">
        <v>1005</v>
      </c>
      <c r="R246" t="s">
        <v>799</v>
      </c>
    </row>
    <row r="247" spans="1:18" ht="20" customHeight="1">
      <c r="A247" t="s">
        <v>42</v>
      </c>
      <c r="B247" t="s">
        <v>57</v>
      </c>
      <c r="D247" t="s">
        <v>1031</v>
      </c>
      <c r="E247" t="s">
        <v>35</v>
      </c>
      <c r="F247" t="s">
        <v>538</v>
      </c>
      <c r="G247" t="s">
        <v>1681</v>
      </c>
      <c r="H247" t="s">
        <v>44</v>
      </c>
      <c r="I247" t="s">
        <v>44</v>
      </c>
      <c r="J247" t="s">
        <v>44</v>
      </c>
      <c r="K247" t="s">
        <v>1028</v>
      </c>
      <c r="L247" t="s">
        <v>1682</v>
      </c>
      <c r="M247" t="s">
        <v>1683</v>
      </c>
      <c r="N247" t="s">
        <v>536</v>
      </c>
      <c r="O247" t="s">
        <v>122</v>
      </c>
      <c r="P247" t="s">
        <v>49</v>
      </c>
      <c r="Q247" t="s">
        <v>1004</v>
      </c>
      <c r="R247" t="s">
        <v>160</v>
      </c>
    </row>
    <row r="248" spans="1:18" ht="20" customHeight="1">
      <c r="A248" t="s">
        <v>42</v>
      </c>
      <c r="B248" t="s">
        <v>38</v>
      </c>
      <c r="D248" t="s">
        <v>1031</v>
      </c>
      <c r="E248" t="s">
        <v>35</v>
      </c>
      <c r="F248" t="s">
        <v>153</v>
      </c>
      <c r="G248" t="s">
        <v>1375</v>
      </c>
      <c r="H248" t="s">
        <v>44</v>
      </c>
      <c r="I248" t="s">
        <v>44</v>
      </c>
      <c r="J248" t="s">
        <v>44</v>
      </c>
      <c r="K248" t="s">
        <v>1028</v>
      </c>
      <c r="L248" t="s">
        <v>1376</v>
      </c>
      <c r="M248" t="s">
        <v>1684</v>
      </c>
      <c r="N248" t="s">
        <v>150</v>
      </c>
      <c r="O248" t="s">
        <v>68</v>
      </c>
      <c r="P248" t="s">
        <v>49</v>
      </c>
      <c r="Q248" t="s">
        <v>1006</v>
      </c>
      <c r="R248" t="s">
        <v>151</v>
      </c>
    </row>
    <row r="249" spans="1:18" ht="20" customHeight="1">
      <c r="A249" t="s">
        <v>42</v>
      </c>
      <c r="B249" t="s">
        <v>541</v>
      </c>
      <c r="C249" t="s">
        <v>540</v>
      </c>
      <c r="D249" t="s">
        <v>1685</v>
      </c>
      <c r="E249" t="s">
        <v>540</v>
      </c>
      <c r="F249" t="s">
        <v>544</v>
      </c>
      <c r="G249" t="s">
        <v>1686</v>
      </c>
      <c r="H249" t="s">
        <v>44</v>
      </c>
      <c r="I249" t="s">
        <v>44</v>
      </c>
      <c r="J249" t="s">
        <v>44</v>
      </c>
      <c r="K249" t="s">
        <v>1028</v>
      </c>
      <c r="L249" t="s">
        <v>1687</v>
      </c>
      <c r="M249" t="s">
        <v>1688</v>
      </c>
      <c r="N249" t="s">
        <v>539</v>
      </c>
      <c r="O249" t="s">
        <v>122</v>
      </c>
      <c r="P249" t="s">
        <v>69</v>
      </c>
      <c r="Q249" t="s">
        <v>1004</v>
      </c>
      <c r="R249" t="s">
        <v>542</v>
      </c>
    </row>
    <row r="250" spans="1:18" ht="20" customHeight="1">
      <c r="A250" t="s">
        <v>42</v>
      </c>
      <c r="B250" t="s">
        <v>57</v>
      </c>
      <c r="C250" t="s">
        <v>35</v>
      </c>
      <c r="D250" t="s">
        <v>1031</v>
      </c>
      <c r="E250" t="s">
        <v>35</v>
      </c>
      <c r="F250" t="s">
        <v>283</v>
      </c>
      <c r="G250" t="s">
        <v>1689</v>
      </c>
      <c r="H250" t="s">
        <v>44</v>
      </c>
      <c r="I250" t="s">
        <v>44</v>
      </c>
      <c r="J250" t="s">
        <v>44</v>
      </c>
      <c r="K250" t="s">
        <v>44</v>
      </c>
      <c r="L250" t="s">
        <v>1690</v>
      </c>
      <c r="M250" t="s">
        <v>1691</v>
      </c>
      <c r="N250" t="s">
        <v>977</v>
      </c>
      <c r="O250" t="s">
        <v>132</v>
      </c>
      <c r="P250" t="s">
        <v>68</v>
      </c>
      <c r="Q250" t="s">
        <v>1005</v>
      </c>
      <c r="R250" t="s">
        <v>967</v>
      </c>
    </row>
    <row r="251" spans="1:18" ht="20" customHeight="1">
      <c r="A251" t="s">
        <v>42</v>
      </c>
      <c r="B251" t="s">
        <v>289</v>
      </c>
      <c r="C251" t="s">
        <v>35</v>
      </c>
      <c r="D251" t="s">
        <v>1031</v>
      </c>
      <c r="E251" t="s">
        <v>35</v>
      </c>
      <c r="F251" t="s">
        <v>548</v>
      </c>
      <c r="G251" t="s">
        <v>1692</v>
      </c>
      <c r="H251" t="s">
        <v>44</v>
      </c>
      <c r="I251" t="s">
        <v>44</v>
      </c>
      <c r="J251" t="s">
        <v>44</v>
      </c>
      <c r="K251" t="s">
        <v>1028</v>
      </c>
      <c r="L251" t="s">
        <v>1693</v>
      </c>
      <c r="M251" t="s">
        <v>1694</v>
      </c>
      <c r="N251" t="s">
        <v>545</v>
      </c>
      <c r="O251" t="s">
        <v>122</v>
      </c>
      <c r="P251" t="s">
        <v>49</v>
      </c>
      <c r="Q251" t="s">
        <v>1005</v>
      </c>
      <c r="R251" t="s">
        <v>546</v>
      </c>
    </row>
    <row r="252" spans="1:18" ht="20" customHeight="1">
      <c r="A252" t="s">
        <v>42</v>
      </c>
      <c r="B252" t="s">
        <v>155</v>
      </c>
      <c r="D252" t="s">
        <v>1031</v>
      </c>
      <c r="E252" t="s">
        <v>35</v>
      </c>
      <c r="F252" t="s">
        <v>552</v>
      </c>
      <c r="G252" t="s">
        <v>1695</v>
      </c>
      <c r="H252" t="s">
        <v>44</v>
      </c>
      <c r="I252" t="s">
        <v>44</v>
      </c>
      <c r="J252" t="s">
        <v>44</v>
      </c>
      <c r="K252" t="s">
        <v>1028</v>
      </c>
      <c r="L252" t="s">
        <v>1696</v>
      </c>
      <c r="M252" t="s">
        <v>1697</v>
      </c>
      <c r="N252" t="s">
        <v>549</v>
      </c>
      <c r="O252" t="s">
        <v>122</v>
      </c>
      <c r="P252" t="s">
        <v>69</v>
      </c>
      <c r="Q252" t="s">
        <v>1006</v>
      </c>
      <c r="R252" t="s">
        <v>550</v>
      </c>
    </row>
    <row r="253" spans="1:18" ht="20" customHeight="1">
      <c r="A253" t="s">
        <v>42</v>
      </c>
      <c r="B253" t="s">
        <v>80</v>
      </c>
      <c r="C253" t="s">
        <v>63</v>
      </c>
      <c r="D253" t="s">
        <v>1031</v>
      </c>
      <c r="E253" t="s">
        <v>35</v>
      </c>
      <c r="F253" t="s">
        <v>556</v>
      </c>
      <c r="G253" t="s">
        <v>1698</v>
      </c>
      <c r="H253" t="s">
        <v>44</v>
      </c>
      <c r="I253" t="s">
        <v>44</v>
      </c>
      <c r="J253" t="s">
        <v>44</v>
      </c>
      <c r="K253" t="s">
        <v>1028</v>
      </c>
      <c r="L253" t="s">
        <v>1699</v>
      </c>
      <c r="M253" t="s">
        <v>1700</v>
      </c>
      <c r="N253" t="s">
        <v>553</v>
      </c>
      <c r="O253" t="s">
        <v>122</v>
      </c>
      <c r="P253" t="s">
        <v>69</v>
      </c>
      <c r="Q253" t="s">
        <v>1004</v>
      </c>
      <c r="R253" t="s">
        <v>554</v>
      </c>
    </row>
    <row r="254" spans="1:18" ht="20" customHeight="1">
      <c r="A254" t="s">
        <v>42</v>
      </c>
      <c r="B254" t="s">
        <v>50</v>
      </c>
      <c r="C254" t="s">
        <v>35</v>
      </c>
      <c r="D254" t="s">
        <v>1031</v>
      </c>
      <c r="E254" t="s">
        <v>35</v>
      </c>
      <c r="F254" t="s">
        <v>675</v>
      </c>
      <c r="G254" t="s">
        <v>1701</v>
      </c>
      <c r="H254" t="s">
        <v>44</v>
      </c>
      <c r="I254" t="s">
        <v>44</v>
      </c>
      <c r="J254" t="s">
        <v>44</v>
      </c>
      <c r="K254" t="s">
        <v>1028</v>
      </c>
      <c r="L254" t="s">
        <v>1702</v>
      </c>
      <c r="M254" t="s">
        <v>1703</v>
      </c>
      <c r="N254" t="s">
        <v>802</v>
      </c>
      <c r="O254" t="s">
        <v>122</v>
      </c>
      <c r="P254" t="s">
        <v>69</v>
      </c>
      <c r="Q254" t="s">
        <v>1004</v>
      </c>
      <c r="R254" t="s">
        <v>64</v>
      </c>
    </row>
    <row r="255" spans="1:18" ht="20" customHeight="1">
      <c r="A255" t="s">
        <v>42</v>
      </c>
      <c r="B255" t="s">
        <v>75</v>
      </c>
      <c r="C255" t="s">
        <v>35</v>
      </c>
      <c r="D255" t="s">
        <v>1031</v>
      </c>
      <c r="E255" t="s">
        <v>35</v>
      </c>
      <c r="F255" t="s">
        <v>560</v>
      </c>
      <c r="G255" t="s">
        <v>1704</v>
      </c>
      <c r="H255" t="s">
        <v>44</v>
      </c>
      <c r="I255" t="s">
        <v>44</v>
      </c>
      <c r="J255" t="s">
        <v>44</v>
      </c>
      <c r="K255" t="s">
        <v>44</v>
      </c>
      <c r="L255" t="s">
        <v>1705</v>
      </c>
      <c r="M255" t="s">
        <v>1706</v>
      </c>
      <c r="N255" t="s">
        <v>557</v>
      </c>
      <c r="O255" t="s">
        <v>132</v>
      </c>
      <c r="P255" t="s">
        <v>68</v>
      </c>
      <c r="Q255" t="s">
        <v>1005</v>
      </c>
      <c r="R255" t="s">
        <v>558</v>
      </c>
    </row>
    <row r="256" spans="1:18" ht="20" customHeight="1">
      <c r="A256" t="s">
        <v>42</v>
      </c>
      <c r="B256" t="s">
        <v>155</v>
      </c>
      <c r="D256" t="s">
        <v>1031</v>
      </c>
      <c r="E256" t="s">
        <v>35</v>
      </c>
      <c r="F256" t="s">
        <v>158</v>
      </c>
      <c r="G256" t="s">
        <v>1707</v>
      </c>
      <c r="H256" t="s">
        <v>44</v>
      </c>
      <c r="I256" t="s">
        <v>44</v>
      </c>
      <c r="J256" t="s">
        <v>44</v>
      </c>
      <c r="K256" t="s">
        <v>1028</v>
      </c>
      <c r="L256" t="s">
        <v>1708</v>
      </c>
      <c r="M256" t="s">
        <v>1709</v>
      </c>
      <c r="N256" t="s">
        <v>154</v>
      </c>
      <c r="O256" t="s">
        <v>122</v>
      </c>
      <c r="P256" t="s">
        <v>49</v>
      </c>
      <c r="Q256" t="s">
        <v>1004</v>
      </c>
      <c r="R256" t="s">
        <v>156</v>
      </c>
    </row>
    <row r="257" spans="1:18" ht="20" customHeight="1">
      <c r="A257" t="s">
        <v>42</v>
      </c>
      <c r="B257" t="s">
        <v>375</v>
      </c>
      <c r="C257" t="s">
        <v>35</v>
      </c>
      <c r="D257" t="s">
        <v>1031</v>
      </c>
      <c r="E257" t="s">
        <v>35</v>
      </c>
      <c r="F257" t="s">
        <v>807</v>
      </c>
      <c r="G257" t="s">
        <v>1710</v>
      </c>
      <c r="H257" t="s">
        <v>44</v>
      </c>
      <c r="I257" t="s">
        <v>44</v>
      </c>
      <c r="J257" t="s">
        <v>44</v>
      </c>
      <c r="K257" t="s">
        <v>1028</v>
      </c>
      <c r="L257" t="s">
        <v>1711</v>
      </c>
      <c r="M257" t="s">
        <v>1712</v>
      </c>
      <c r="N257" t="s">
        <v>804</v>
      </c>
      <c r="O257" t="s">
        <v>68</v>
      </c>
      <c r="P257" t="s">
        <v>69</v>
      </c>
      <c r="Q257" t="s">
        <v>1004</v>
      </c>
      <c r="R257" t="s">
        <v>805</v>
      </c>
    </row>
    <row r="258" spans="1:18" ht="20" customHeight="1">
      <c r="A258" t="s">
        <v>42</v>
      </c>
      <c r="B258" t="s">
        <v>80</v>
      </c>
      <c r="C258" t="s">
        <v>35</v>
      </c>
      <c r="D258" t="s">
        <v>1031</v>
      </c>
      <c r="E258" t="s">
        <v>35</v>
      </c>
      <c r="F258" t="s">
        <v>564</v>
      </c>
      <c r="G258" t="s">
        <v>1713</v>
      </c>
      <c r="H258" t="s">
        <v>44</v>
      </c>
      <c r="I258" t="s">
        <v>44</v>
      </c>
      <c r="J258" t="s">
        <v>44</v>
      </c>
      <c r="K258" t="s">
        <v>1028</v>
      </c>
      <c r="L258" t="s">
        <v>1714</v>
      </c>
      <c r="M258" t="s">
        <v>1715</v>
      </c>
      <c r="N258" t="s">
        <v>561</v>
      </c>
      <c r="O258" t="s">
        <v>122</v>
      </c>
      <c r="P258" t="s">
        <v>69</v>
      </c>
      <c r="Q258" t="s">
        <v>1004</v>
      </c>
      <c r="R258" t="s">
        <v>562</v>
      </c>
    </row>
    <row r="259" spans="1:18" ht="20" customHeight="1">
      <c r="A259" t="s">
        <v>42</v>
      </c>
      <c r="B259" t="s">
        <v>57</v>
      </c>
      <c r="D259" t="s">
        <v>1031</v>
      </c>
      <c r="E259" t="s">
        <v>35</v>
      </c>
      <c r="F259" t="s">
        <v>162</v>
      </c>
      <c r="G259" t="s">
        <v>1716</v>
      </c>
      <c r="H259" t="s">
        <v>44</v>
      </c>
      <c r="I259" t="s">
        <v>44</v>
      </c>
      <c r="J259" t="s">
        <v>44</v>
      </c>
      <c r="K259" t="s">
        <v>1028</v>
      </c>
      <c r="L259" t="s">
        <v>1717</v>
      </c>
      <c r="M259" t="s">
        <v>1718</v>
      </c>
      <c r="N259" t="s">
        <v>159</v>
      </c>
      <c r="O259" t="s">
        <v>68</v>
      </c>
      <c r="P259" t="s">
        <v>69</v>
      </c>
      <c r="Q259" t="s">
        <v>1004</v>
      </c>
      <c r="R259" t="s">
        <v>160</v>
      </c>
    </row>
    <row r="260" spans="1:18" ht="20" customHeight="1">
      <c r="A260" t="s">
        <v>42</v>
      </c>
      <c r="B260" t="s">
        <v>80</v>
      </c>
      <c r="D260" t="s">
        <v>1031</v>
      </c>
      <c r="E260" t="s">
        <v>35</v>
      </c>
      <c r="F260" t="s">
        <v>166</v>
      </c>
      <c r="G260" t="s">
        <v>1249</v>
      </c>
      <c r="H260" t="s">
        <v>44</v>
      </c>
      <c r="I260" t="s">
        <v>44</v>
      </c>
      <c r="J260" t="s">
        <v>44</v>
      </c>
      <c r="K260" t="s">
        <v>44</v>
      </c>
      <c r="L260" t="s">
        <v>1250</v>
      </c>
      <c r="M260" t="s">
        <v>1719</v>
      </c>
      <c r="N260" t="s">
        <v>163</v>
      </c>
      <c r="O260" t="s">
        <v>132</v>
      </c>
      <c r="P260" t="s">
        <v>68</v>
      </c>
      <c r="Q260" t="s">
        <v>1004</v>
      </c>
      <c r="R260" t="s">
        <v>164</v>
      </c>
    </row>
    <row r="261" spans="1:18" ht="20" customHeight="1">
      <c r="A261" t="s">
        <v>42</v>
      </c>
      <c r="B261" t="s">
        <v>80</v>
      </c>
      <c r="C261" t="s">
        <v>35</v>
      </c>
      <c r="D261" t="s">
        <v>1031</v>
      </c>
      <c r="E261" t="s">
        <v>35</v>
      </c>
      <c r="F261" t="s">
        <v>169</v>
      </c>
      <c r="G261" t="s">
        <v>1249</v>
      </c>
      <c r="H261" t="s">
        <v>44</v>
      </c>
      <c r="I261" t="s">
        <v>44</v>
      </c>
      <c r="J261" t="s">
        <v>44</v>
      </c>
      <c r="K261" t="s">
        <v>44</v>
      </c>
      <c r="L261" t="s">
        <v>1250</v>
      </c>
      <c r="M261" t="s">
        <v>1719</v>
      </c>
      <c r="N261" t="s">
        <v>167</v>
      </c>
      <c r="O261" t="s">
        <v>132</v>
      </c>
      <c r="P261" t="s">
        <v>68</v>
      </c>
      <c r="Q261" t="s">
        <v>1004</v>
      </c>
      <c r="R261" t="s">
        <v>164</v>
      </c>
    </row>
    <row r="262" spans="1:18" ht="20" customHeight="1">
      <c r="A262" t="s">
        <v>42</v>
      </c>
      <c r="B262" t="s">
        <v>70</v>
      </c>
      <c r="D262" t="s">
        <v>1031</v>
      </c>
      <c r="E262" t="s">
        <v>35</v>
      </c>
      <c r="F262" t="s">
        <v>538</v>
      </c>
      <c r="G262" t="s">
        <v>1720</v>
      </c>
      <c r="H262" t="s">
        <v>44</v>
      </c>
      <c r="I262" t="s">
        <v>44</v>
      </c>
      <c r="J262" t="s">
        <v>44</v>
      </c>
      <c r="K262" t="s">
        <v>1028</v>
      </c>
      <c r="L262" t="s">
        <v>1721</v>
      </c>
      <c r="M262" t="s">
        <v>1722</v>
      </c>
      <c r="N262" t="s">
        <v>565</v>
      </c>
      <c r="O262" t="s">
        <v>68</v>
      </c>
      <c r="P262" t="s">
        <v>49</v>
      </c>
      <c r="Q262" t="s">
        <v>1004</v>
      </c>
      <c r="R262" t="s">
        <v>566</v>
      </c>
    </row>
    <row r="263" spans="1:18" ht="20" customHeight="1">
      <c r="A263" t="s">
        <v>42</v>
      </c>
      <c r="B263" t="s">
        <v>38</v>
      </c>
      <c r="D263" t="s">
        <v>1031</v>
      </c>
      <c r="E263" t="s">
        <v>35</v>
      </c>
      <c r="F263" t="s">
        <v>811</v>
      </c>
      <c r="G263" t="s">
        <v>1723</v>
      </c>
      <c r="H263" t="s">
        <v>44</v>
      </c>
      <c r="I263" t="s">
        <v>44</v>
      </c>
      <c r="J263" t="s">
        <v>44</v>
      </c>
      <c r="K263" t="s">
        <v>1028</v>
      </c>
      <c r="L263" t="s">
        <v>1724</v>
      </c>
      <c r="M263" t="s">
        <v>1725</v>
      </c>
      <c r="N263" t="s">
        <v>808</v>
      </c>
      <c r="O263" t="s">
        <v>68</v>
      </c>
      <c r="P263" t="s">
        <v>68</v>
      </c>
      <c r="Q263" t="s">
        <v>1218</v>
      </c>
      <c r="R263" t="s">
        <v>809</v>
      </c>
    </row>
    <row r="264" spans="1:18" ht="20" customHeight="1">
      <c r="A264" t="s">
        <v>42</v>
      </c>
      <c r="B264" t="s">
        <v>80</v>
      </c>
      <c r="D264" t="s">
        <v>1031</v>
      </c>
      <c r="E264" t="s">
        <v>35</v>
      </c>
      <c r="F264" t="s">
        <v>173</v>
      </c>
      <c r="G264" t="s">
        <v>1726</v>
      </c>
      <c r="H264" t="s">
        <v>44</v>
      </c>
      <c r="I264" t="s">
        <v>44</v>
      </c>
      <c r="J264" t="s">
        <v>44</v>
      </c>
      <c r="K264" t="s">
        <v>1028</v>
      </c>
      <c r="L264" t="s">
        <v>1727</v>
      </c>
      <c r="M264" t="s">
        <v>173</v>
      </c>
      <c r="N264" t="s">
        <v>170</v>
      </c>
      <c r="O264" t="s">
        <v>36</v>
      </c>
      <c r="P264" t="s">
        <v>37</v>
      </c>
      <c r="Q264" t="s">
        <v>1005</v>
      </c>
      <c r="R264" t="s">
        <v>171</v>
      </c>
    </row>
    <row r="265" spans="1:18" ht="20" customHeight="1">
      <c r="A265" t="s">
        <v>42</v>
      </c>
      <c r="B265" t="s">
        <v>38</v>
      </c>
      <c r="C265" t="s">
        <v>175</v>
      </c>
      <c r="D265" t="s">
        <v>1031</v>
      </c>
      <c r="E265" t="s">
        <v>35</v>
      </c>
      <c r="F265" t="s">
        <v>178</v>
      </c>
      <c r="G265" t="s">
        <v>1728</v>
      </c>
      <c r="H265" t="s">
        <v>44</v>
      </c>
      <c r="I265" t="s">
        <v>44</v>
      </c>
      <c r="J265" t="s">
        <v>44</v>
      </c>
      <c r="K265" t="s">
        <v>1028</v>
      </c>
      <c r="L265" t="s">
        <v>1729</v>
      </c>
      <c r="M265" t="s">
        <v>1730</v>
      </c>
      <c r="N265" t="s">
        <v>174</v>
      </c>
      <c r="O265" t="s">
        <v>122</v>
      </c>
      <c r="P265" t="s">
        <v>49</v>
      </c>
      <c r="Q265" t="s">
        <v>1004</v>
      </c>
      <c r="R265" t="s">
        <v>176</v>
      </c>
    </row>
  </sheetData>
  <pageMargins left="0.7" right="0.7" top="0.75" bottom="0.75" header="0.3" footer="0.3"/>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sheetPr>
    <tabColor rgb="FF008C95"/>
    <pageSetUpPr fitToPage="1"/>
  </sheetPr>
  <dimension ref="A1:AB6"/>
  <sheetViews>
    <sheetView showGridLines="0" workbookViewId="0">
      <pane xSplit="3" ySplit="1" topLeftCell="D2" activePane="bottomRight" state="frozen"/>
      <selection pane="topRight" activeCell="D1" sqref="D1"/>
      <selection pane="bottomLeft" activeCell="A2" sqref="A2"/>
      <selection pane="bottomRight"/>
    </sheetView>
  </sheetViews>
  <sheetFormatPr defaultRowHeight="20" customHeight="1"/>
  <cols>
    <col min="1" max="21" width="19.7109375" customWidth="1"/>
    <col min="22" max="24" width="45.7109375" customWidth="1"/>
    <col min="25" max="28" width="19.7109375" customWidth="1"/>
  </cols>
  <sheetData>
    <row r="1" spans="1:28" ht="20" customHeight="1">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row>
    <row r="2" spans="1:28" ht="20" customHeight="1">
      <c r="A2" t="s">
        <v>30</v>
      </c>
      <c r="B2" t="s">
        <v>61</v>
      </c>
      <c r="C2" t="s">
        <v>199</v>
      </c>
      <c r="D2" s="7">
        <v>46265.78819444445</v>
      </c>
      <c r="E2" t="s">
        <v>200</v>
      </c>
      <c r="F2" t="s">
        <v>201</v>
      </c>
      <c r="G2" t="s">
        <v>35</v>
      </c>
      <c r="H2" t="s">
        <v>35</v>
      </c>
      <c r="I2" t="s">
        <v>48</v>
      </c>
      <c r="J2" t="s">
        <v>49</v>
      </c>
      <c r="K2" s="8">
        <v>27053.57</v>
      </c>
      <c r="L2" s="8">
        <v>27053.57</v>
      </c>
      <c r="M2" s="8">
        <v>30300</v>
      </c>
      <c r="N2">
        <v>1</v>
      </c>
      <c r="O2">
        <v>0</v>
      </c>
      <c r="P2" s="8">
        <v>0</v>
      </c>
      <c r="Q2" s="8">
        <v>0</v>
      </c>
      <c r="R2" s="8">
        <v>0</v>
      </c>
      <c r="S2">
        <v>2</v>
      </c>
      <c r="T2">
        <v>4</v>
      </c>
      <c r="U2" t="s">
        <v>50</v>
      </c>
      <c r="V2" t="s">
        <v>202</v>
      </c>
      <c r="W2" t="s">
        <v>203</v>
      </c>
      <c r="X2" t="s">
        <v>41</v>
      </c>
      <c r="Y2">
        <v>36</v>
      </c>
      <c r="Z2" t="s">
        <v>42</v>
      </c>
      <c r="AA2" t="s">
        <v>204</v>
      </c>
      <c r="AB2" t="s">
        <v>44</v>
      </c>
    </row>
    <row r="3" spans="1:28" ht="20" customHeight="1">
      <c r="A3" t="s">
        <v>334</v>
      </c>
      <c r="B3" t="s">
        <v>335</v>
      </c>
      <c r="C3" t="s">
        <v>568</v>
      </c>
      <c r="D3" s="7"/>
      <c r="E3" t="s">
        <v>200</v>
      </c>
      <c r="F3" t="s">
        <v>569</v>
      </c>
      <c r="G3" t="s">
        <v>570</v>
      </c>
      <c r="H3" t="s">
        <v>570</v>
      </c>
      <c r="I3" t="s">
        <v>570</v>
      </c>
      <c r="J3" t="s">
        <v>570</v>
      </c>
      <c r="K3" s="8"/>
      <c r="L3" s="8"/>
      <c r="M3" s="8"/>
      <c r="N3">
        <v>0</v>
      </c>
      <c r="O3">
        <v>0</v>
      </c>
      <c r="P3" s="8"/>
      <c r="Q3" s="8"/>
      <c r="R3" s="8"/>
      <c r="S3">
        <v>2</v>
      </c>
      <c r="W3" t="s">
        <v>571</v>
      </c>
      <c r="X3" t="s">
        <v>339</v>
      </c>
      <c r="Y3">
        <v>64</v>
      </c>
      <c r="AB3" t="s">
        <v>570</v>
      </c>
    </row>
    <row r="4" spans="1:28" ht="20" customHeight="1">
      <c r="A4" t="s">
        <v>334</v>
      </c>
      <c r="B4" t="s">
        <v>335</v>
      </c>
      <c r="C4" t="s">
        <v>605</v>
      </c>
      <c r="D4" s="7"/>
      <c r="E4" t="s">
        <v>200</v>
      </c>
      <c r="F4" t="s">
        <v>569</v>
      </c>
      <c r="G4" t="s">
        <v>570</v>
      </c>
      <c r="H4" t="s">
        <v>570</v>
      </c>
      <c r="I4" t="s">
        <v>570</v>
      </c>
      <c r="J4" t="s">
        <v>570</v>
      </c>
      <c r="K4" s="8"/>
      <c r="L4" s="8"/>
      <c r="M4" s="8"/>
      <c r="N4">
        <v>0</v>
      </c>
      <c r="O4">
        <v>0</v>
      </c>
      <c r="P4" s="8"/>
      <c r="Q4" s="8"/>
      <c r="R4" s="8"/>
      <c r="S4">
        <v>2</v>
      </c>
      <c r="W4" t="s">
        <v>606</v>
      </c>
      <c r="X4" t="s">
        <v>339</v>
      </c>
      <c r="Y4">
        <v>75</v>
      </c>
      <c r="AB4" t="s">
        <v>570</v>
      </c>
    </row>
    <row r="5" spans="1:28" ht="20" customHeight="1">
      <c r="A5" t="s">
        <v>334</v>
      </c>
      <c r="B5" t="s">
        <v>335</v>
      </c>
      <c r="C5" t="s">
        <v>643</v>
      </c>
      <c r="D5" s="7">
        <v>46260.62083333333</v>
      </c>
      <c r="E5" t="s">
        <v>200</v>
      </c>
      <c r="F5" t="s">
        <v>201</v>
      </c>
      <c r="G5" t="s">
        <v>342</v>
      </c>
      <c r="H5" t="s">
        <v>63</v>
      </c>
      <c r="I5" t="s">
        <v>48</v>
      </c>
      <c r="J5" t="s">
        <v>49</v>
      </c>
      <c r="K5" s="8">
        <v>54174.11</v>
      </c>
      <c r="L5" s="8">
        <v>54174.11</v>
      </c>
      <c r="M5" s="8">
        <v>60675</v>
      </c>
      <c r="N5">
        <v>1</v>
      </c>
      <c r="O5">
        <v>0</v>
      </c>
      <c r="P5" s="8">
        <v>0</v>
      </c>
      <c r="Q5" s="8">
        <v>0</v>
      </c>
      <c r="R5" s="8">
        <v>0</v>
      </c>
      <c r="S5">
        <v>2</v>
      </c>
      <c r="T5">
        <v>4</v>
      </c>
      <c r="U5" t="s">
        <v>50</v>
      </c>
      <c r="V5" t="s">
        <v>397</v>
      </c>
      <c r="W5" t="s">
        <v>644</v>
      </c>
      <c r="X5" t="s">
        <v>339</v>
      </c>
      <c r="Y5">
        <v>87</v>
      </c>
      <c r="Z5" t="s">
        <v>42</v>
      </c>
      <c r="AA5" t="s">
        <v>645</v>
      </c>
      <c r="AB5" t="s">
        <v>44</v>
      </c>
    </row>
    <row r="6" spans="1:28" ht="20" customHeight="1">
      <c r="A6" t="s">
        <v>334</v>
      </c>
      <c r="B6" t="s">
        <v>335</v>
      </c>
      <c r="C6" t="s">
        <v>829</v>
      </c>
      <c r="D6" s="7"/>
      <c r="E6" t="s">
        <v>200</v>
      </c>
      <c r="F6" t="s">
        <v>569</v>
      </c>
      <c r="G6" t="s">
        <v>570</v>
      </c>
      <c r="H6" t="s">
        <v>570</v>
      </c>
      <c r="I6" t="s">
        <v>570</v>
      </c>
      <c r="J6" t="s">
        <v>570</v>
      </c>
      <c r="K6" s="8"/>
      <c r="L6" s="8"/>
      <c r="M6" s="8"/>
      <c r="N6">
        <v>0</v>
      </c>
      <c r="O6">
        <v>0</v>
      </c>
      <c r="P6" s="8"/>
      <c r="Q6" s="8"/>
      <c r="R6" s="8"/>
      <c r="S6">
        <v>1</v>
      </c>
      <c r="W6" t="s">
        <v>830</v>
      </c>
      <c r="X6" t="s">
        <v>339</v>
      </c>
      <c r="Y6">
        <v>144</v>
      </c>
      <c r="AB6" t="s">
        <v>570</v>
      </c>
    </row>
  </sheetData>
  <pageMargins left="0.7" right="0.7" top="0.75" bottom="0.75" header="0.3" footer="0.3"/>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sheetPr>
    <tabColor rgb="FF008C95"/>
    <pageSetUpPr fitToPage="1"/>
  </sheetPr>
  <dimension ref="A1:L9"/>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20" customHeight="1"/>
  <cols>
    <col min="1" max="1" width="23.7109375" customWidth="1"/>
    <col min="2" max="12" width="21.7109375" customWidth="1"/>
  </cols>
  <sheetData>
    <row r="1" spans="1:12" ht="20" customHeight="1">
      <c r="A1" s="1" t="s">
        <v>1731</v>
      </c>
      <c r="B1" s="1"/>
      <c r="C1" s="1"/>
      <c r="D1" s="1"/>
      <c r="E1" s="1"/>
      <c r="F1" s="1"/>
      <c r="G1" s="1"/>
      <c r="H1" s="1"/>
      <c r="I1" s="1"/>
      <c r="J1" s="1"/>
      <c r="K1" s="1"/>
      <c r="L1" s="1"/>
    </row>
    <row r="2" spans="1:12" ht="20" customHeight="1">
      <c r="A2" s="1"/>
      <c r="B2" s="1"/>
      <c r="C2" s="1"/>
      <c r="D2" s="1"/>
      <c r="E2" s="1"/>
      <c r="F2" s="1"/>
      <c r="G2" s="1"/>
      <c r="H2" s="1"/>
      <c r="I2" s="1"/>
      <c r="J2" s="1"/>
      <c r="K2" s="1"/>
      <c r="L2" s="1"/>
    </row>
    <row r="3" spans="1:12" ht="23" customHeight="1">
      <c r="A3" s="2" t="s">
        <v>1732</v>
      </c>
      <c r="B3" s="2"/>
      <c r="C3" s="2"/>
      <c r="D3" s="2"/>
      <c r="E3" s="2"/>
      <c r="F3" s="2"/>
      <c r="G3" s="2"/>
      <c r="H3" s="2"/>
      <c r="I3" s="2"/>
      <c r="J3" s="2"/>
      <c r="K3" s="2"/>
      <c r="L3" s="2"/>
    </row>
    <row r="4" spans="1:12" ht="20" customHeight="1">
      <c r="A4" s="2"/>
      <c r="B4" s="2"/>
      <c r="C4" s="2"/>
      <c r="D4" s="2"/>
      <c r="E4" s="2"/>
      <c r="F4" s="2"/>
      <c r="G4" s="2"/>
      <c r="H4" s="2"/>
      <c r="I4" s="2"/>
      <c r="J4" s="2"/>
      <c r="K4" s="2"/>
      <c r="L4" s="2"/>
    </row>
    <row r="6" spans="1:12" ht="34" customHeight="1">
      <c r="A6" s="5" t="s">
        <v>2</v>
      </c>
      <c r="B6" s="5" t="s">
        <v>1733</v>
      </c>
      <c r="C6" s="5" t="s">
        <v>12</v>
      </c>
      <c r="D6" s="5" t="s">
        <v>1734</v>
      </c>
      <c r="E6" s="5" t="s">
        <v>13</v>
      </c>
      <c r="F6" s="5" t="s">
        <v>1735</v>
      </c>
      <c r="G6" s="5" t="s">
        <v>1736</v>
      </c>
      <c r="H6" s="5" t="s">
        <v>18</v>
      </c>
      <c r="I6" s="5" t="s">
        <v>17</v>
      </c>
      <c r="J6" s="5" t="s">
        <v>19</v>
      </c>
      <c r="K6" s="5" t="s">
        <v>1737</v>
      </c>
      <c r="L6" s="5" t="s">
        <v>1738</v>
      </c>
    </row>
    <row r="7" spans="1:12" ht="20" customHeight="1">
      <c r="A7" t="s">
        <v>30</v>
      </c>
      <c r="B7" s="9">
        <f>COUNTIFS('Source Data'!$F$2:$F$268,"Included",'Source Data'!$A$2:$A$268,"Google Ads")</f>
        <v>67.0</v>
      </c>
      <c r="C7" s="8">
        <f>SUMIFS('Source Data'!$K$2:$K$268,'Source Data'!$F$2:$F$268,"Included",'Source Data'!$A$2:$A$268,"Google Ads")</f>
        <v>1473109.48</v>
      </c>
      <c r="D7" s="9">
        <f>SUMIFS('Source Data'!$N$2:$N$268,'Source Data'!$F$2:$F$268,"Included",'Source Data'!$A$2:$A$268,"Google Ads")</f>
        <v>26.0</v>
      </c>
      <c r="E7" s="8">
        <f>SUMIFS('Source Data'!$L$2:$L$268,'Source Data'!$F$2:$F$268,"Included",'Source Data'!$A$2:$A$268,"Google Ads")</f>
        <v>510707.5</v>
      </c>
      <c r="F7" s="10">
        <f>IFERROR(D7/B7,0)</f>
        <v>0.3880597014925373</v>
      </c>
      <c r="G7" s="9">
        <f>SUMIFS('Source Data'!$O$2:$O$268,'Source Data'!$F$2:$F$268,"Included",'Source Data'!$A$2:$A$268,"Google Ads")</f>
        <v>18.0</v>
      </c>
      <c r="H7" s="8">
        <f>SUMIFS('Source Data'!$Q$2:$Q$268,'Source Data'!$F$2:$F$268,"Included",'Source Data'!$A$2:$A$268,"Google Ads")</f>
        <v>328191.94</v>
      </c>
      <c r="I7" s="8">
        <f>SUMIFS('Source Data'!$P$2:$P$268,'Source Data'!$F$2:$F$268,"Included",'Source Data'!$A$2:$A$268,"Google Ads")</f>
        <v>623269.5</v>
      </c>
      <c r="J7" s="8">
        <f>SUMIFS('Source Data'!$R$2:$R$268,'Source Data'!$F$2:$F$268,"Included",'Source Data'!$A$2:$A$268,"Google Ads")</f>
        <v>10940.54</v>
      </c>
      <c r="K7" s="8">
        <f>IFERROR(C7/B7,0)</f>
        <v>21986.70865671642</v>
      </c>
      <c r="L7" s="10">
        <f>IFERROR(E7/C7,0)</f>
        <v>0.34668672419377816</v>
      </c>
    </row>
    <row r="8" spans="1:12" ht="20" customHeight="1">
      <c r="A8" t="s">
        <v>334</v>
      </c>
      <c r="B8" s="9">
        <f>COUNTIFS('Source Data'!$F$2:$F$268,"Included",'Source Data'!$A$2:$A$268,"Direct &amp; Organic")</f>
        <v>167.0</v>
      </c>
      <c r="C8" s="8">
        <f>SUMIFS('Source Data'!$K$2:$K$268,'Source Data'!$F$2:$F$268,"Included",'Source Data'!$A$2:$A$268,"Direct &amp; Organic")</f>
        <v>2862122.66</v>
      </c>
      <c r="D8" s="9">
        <f>SUMIFS('Source Data'!$N$2:$N$268,'Source Data'!$F$2:$F$268,"Included",'Source Data'!$A$2:$A$268,"Direct &amp; Organic")</f>
        <v>75.0</v>
      </c>
      <c r="E8" s="8">
        <f>SUMIFS('Source Data'!$L$2:$L$268,'Source Data'!$F$2:$F$268,"Included",'Source Data'!$A$2:$A$268,"Direct &amp; Organic")</f>
        <v>1307528.85</v>
      </c>
      <c r="F8" s="10">
        <f>IFERROR(D8/B8,0)</f>
        <v>0.4491017964071856</v>
      </c>
      <c r="G8" s="9">
        <f>SUMIFS('Source Data'!$O$2:$O$268,'Source Data'!$F$2:$F$268,"Included",'Source Data'!$A$2:$A$268,"Direct &amp; Organic")</f>
        <v>50.0</v>
      </c>
      <c r="H8" s="8">
        <f>SUMIFS('Source Data'!$Q$2:$Q$268,'Source Data'!$F$2:$F$268,"Included",'Source Data'!$A$2:$A$268,"Direct &amp; Organic")</f>
        <v>833341.14</v>
      </c>
      <c r="I8" s="8">
        <f>SUMIFS('Source Data'!$P$2:$P$268,'Source Data'!$F$2:$F$268,"Included",'Source Data'!$A$2:$A$268,"Direct &amp; Organic")</f>
        <v>660976.6</v>
      </c>
      <c r="J8" s="8">
        <f>SUMIFS('Source Data'!$R$2:$R$268,'Source Data'!$F$2:$F$268,"Included",'Source Data'!$A$2:$A$268,"Direct &amp; Organic")</f>
        <v>60276.07</v>
      </c>
      <c r="K8" s="8">
        <f>IFERROR(C8/B8,0)</f>
        <v>17138.45904191617</v>
      </c>
      <c r="L8" s="10">
        <f>IFERROR(E8/C8,0)</f>
        <v>0.45683885889083453</v>
      </c>
    </row>
    <row r="9" spans="1:12" ht="20" customHeight="1">
      <c r="A9" t="s">
        <v>910</v>
      </c>
      <c r="B9" s="9">
        <f>COUNTIFS('Source Data'!$F$2:$F$268,"Included",'Source Data'!$A$2:$A$268,"Referral")</f>
        <v>28.0</v>
      </c>
      <c r="C9" s="8">
        <f>SUMIFS('Source Data'!$K$2:$K$268,'Source Data'!$F$2:$F$268,"Included",'Source Data'!$A$2:$A$268,"Referral")</f>
        <v>464584.11</v>
      </c>
      <c r="D9" s="9">
        <f>SUMIFS('Source Data'!$N$2:$N$268,'Source Data'!$F$2:$F$268,"Included",'Source Data'!$A$2:$A$268,"Referral")</f>
        <v>10.0</v>
      </c>
      <c r="E9" s="8">
        <f>SUMIFS('Source Data'!$L$2:$L$268,'Source Data'!$F$2:$F$268,"Included",'Source Data'!$A$2:$A$268,"Referral")</f>
        <v>273228.94</v>
      </c>
      <c r="F9" s="10">
        <f>IFERROR(D9/B9,0)</f>
        <v>0.35714285714285715</v>
      </c>
      <c r="G9" s="9">
        <f>SUMIFS('Source Data'!$O$2:$O$268,'Source Data'!$F$2:$F$268,"Included",'Source Data'!$A$2:$A$268,"Referral")</f>
        <v>11.0</v>
      </c>
      <c r="H9" s="8">
        <f>SUMIFS('Source Data'!$Q$2:$Q$268,'Source Data'!$F$2:$F$268,"Included",'Source Data'!$A$2:$A$268,"Referral")</f>
        <v>132243.91</v>
      </c>
      <c r="I9" s="8">
        <f>SUMIFS('Source Data'!$P$2:$P$268,'Source Data'!$F$2:$F$268,"Included",'Source Data'!$A$2:$A$268,"Referral")</f>
        <v>48170.72</v>
      </c>
      <c r="J9" s="8">
        <f>SUMIFS('Source Data'!$R$2:$R$268,'Source Data'!$F$2:$F$268,"Included",'Source Data'!$A$2:$A$268,"Referral")</f>
        <v>10940.54</v>
      </c>
      <c r="K9" s="8">
        <f>IFERROR(C9/B9,0)</f>
        <v>16592.289642857144</v>
      </c>
      <c r="L9" s="10">
        <f>IFERROR(E9/C9,0)</f>
        <v>0.5881151208550804</v>
      </c>
    </row>
  </sheetData>
  <autoFilter ref="A6:L9"/>
  <mergeCells count="2">
    <mergeCell ref="A1:L2"/>
    <mergeCell ref="A3:L4"/>
  </mergeCells>
  <conditionalFormatting sqref="C7:C9">
    <cfRule type="dataBar" priority="2">
      <dataBar>
        <cfvo type="min" val="0"/>
        <cfvo type="max" val="0"/>
        <color rgb="FF008C95"/>
      </dataBar>
    </cfRule>
  </conditionalFormatting>
  <conditionalFormatting sqref="F7:F9">
    <cfRule type="colorScale" priority="1">
      <colorScale>
        <cfvo type="min" val="0"/>
        <cfvo type="percentile" val="50"/>
        <cfvo type="max" val="0"/>
        <color rgb="FFF8696B"/>
        <color rgb="FFFFEB84"/>
        <color rgb="FF63BE7B"/>
      </colorScale>
    </cfRule>
  </conditionalFormatting>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tabColor rgb="FF008C95"/>
    <pageSetUpPr fitToPage="1"/>
  </sheetPr>
  <dimension ref="A1:M18"/>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20" customHeight="1"/>
  <cols>
    <col min="1" max="2" width="23.7109375" customWidth="1"/>
    <col min="3" max="13" width="21.7109375" customWidth="1"/>
  </cols>
  <sheetData>
    <row r="1" spans="1:13" ht="20" customHeight="1">
      <c r="A1" s="1" t="s">
        <v>1739</v>
      </c>
      <c r="B1" s="1"/>
      <c r="C1" s="1"/>
      <c r="D1" s="1"/>
      <c r="E1" s="1"/>
      <c r="F1" s="1"/>
      <c r="G1" s="1"/>
      <c r="H1" s="1"/>
      <c r="I1" s="1"/>
      <c r="J1" s="1"/>
      <c r="K1" s="1"/>
      <c r="L1" s="1"/>
      <c r="M1" s="1"/>
    </row>
    <row r="2" spans="1:13" ht="20" customHeight="1">
      <c r="A2" s="1"/>
      <c r="B2" s="1"/>
      <c r="C2" s="1"/>
      <c r="D2" s="1"/>
      <c r="E2" s="1"/>
      <c r="F2" s="1"/>
      <c r="G2" s="1"/>
      <c r="H2" s="1"/>
      <c r="I2" s="1"/>
      <c r="J2" s="1"/>
      <c r="K2" s="1"/>
      <c r="L2" s="1"/>
      <c r="M2" s="1"/>
    </row>
    <row r="3" spans="1:13" ht="23" customHeight="1">
      <c r="A3" s="2" t="s">
        <v>1732</v>
      </c>
      <c r="B3" s="2"/>
      <c r="C3" s="2"/>
      <c r="D3" s="2"/>
      <c r="E3" s="2"/>
      <c r="F3" s="2"/>
      <c r="G3" s="2"/>
      <c r="H3" s="2"/>
      <c r="I3" s="2"/>
      <c r="J3" s="2"/>
      <c r="K3" s="2"/>
      <c r="L3" s="2"/>
      <c r="M3" s="2"/>
    </row>
    <row r="4" spans="1:13" ht="20" customHeight="1">
      <c r="A4" s="2"/>
      <c r="B4" s="2"/>
      <c r="C4" s="2"/>
      <c r="D4" s="2"/>
      <c r="E4" s="2"/>
      <c r="F4" s="2"/>
      <c r="G4" s="2"/>
      <c r="H4" s="2"/>
      <c r="I4" s="2"/>
      <c r="J4" s="2"/>
      <c r="K4" s="2"/>
      <c r="L4" s="2"/>
      <c r="M4" s="2"/>
    </row>
    <row r="6" spans="1:13" ht="34" customHeight="1">
      <c r="A6" s="5" t="s">
        <v>6</v>
      </c>
      <c r="B6" s="5" t="s">
        <v>2</v>
      </c>
      <c r="C6" s="5" t="s">
        <v>1733</v>
      </c>
      <c r="D6" s="5" t="s">
        <v>12</v>
      </c>
      <c r="E6" s="5" t="s">
        <v>1734</v>
      </c>
      <c r="F6" s="5" t="s">
        <v>13</v>
      </c>
      <c r="G6" s="5" t="s">
        <v>1735</v>
      </c>
      <c r="H6" s="5" t="s">
        <v>1736</v>
      </c>
      <c r="I6" s="5" t="s">
        <v>18</v>
      </c>
      <c r="J6" s="5" t="s">
        <v>17</v>
      </c>
      <c r="K6" s="5" t="s">
        <v>19</v>
      </c>
      <c r="L6" s="5" t="s">
        <v>1737</v>
      </c>
      <c r="M6" s="5" t="s">
        <v>1738</v>
      </c>
    </row>
    <row r="7" spans="1:13" ht="20" customHeight="1">
      <c r="A7" t="s">
        <v>47</v>
      </c>
      <c r="B7" t="s">
        <v>30</v>
      </c>
      <c r="C7" s="9">
        <f>COUNTIFS('Source Data'!$F$2:$F$268,"Included",'Source Data'!$E$2:$E$268,"Week 1",'Source Data'!$A$2:$A$268,"Google Ads")</f>
        <v>24.0</v>
      </c>
      <c r="D7" s="8">
        <f>SUMIFS('Source Data'!$K$2:$K$268,'Source Data'!$F$2:$F$268,"Included",'Source Data'!$E$2:$E$268,"Week 1",'Source Data'!$A$2:$A$268,"Google Ads")</f>
        <v>522608.31</v>
      </c>
      <c r="E7" s="9">
        <f>SUMIFS('Source Data'!$N$2:$N$268,'Source Data'!$F$2:$F$268,"Included",'Source Data'!$E$2:$E$268,"Week 1",'Source Data'!$A$2:$A$268,"Google Ads")</f>
        <v>15.0</v>
      </c>
      <c r="F7" s="8">
        <f>SUMIFS('Source Data'!$L$2:$L$268,'Source Data'!$F$2:$F$268,"Included",'Source Data'!$E$2:$E$268,"Week 1",'Source Data'!$A$2:$A$268,"Google Ads")</f>
        <v>324575.99</v>
      </c>
      <c r="G7" s="10">
        <f>IFERROR(E7/C7,0)</f>
        <v>0.625</v>
      </c>
      <c r="H7" s="9">
        <f>SUMIFS('Source Data'!$O$2:$O$268,'Source Data'!$F$2:$F$268,"Included",'Source Data'!$E$2:$E$268,"Week 1",'Source Data'!$A$2:$A$268,"Google Ads")</f>
        <v>6.0</v>
      </c>
      <c r="I7" s="8">
        <f>SUMIFS('Source Data'!$Q$2:$Q$268,'Source Data'!$F$2:$F$268,"Included",'Source Data'!$E$2:$E$268,"Week 1",'Source Data'!$A$2:$A$268,"Google Ads")</f>
        <v>112916.25</v>
      </c>
      <c r="J7" s="8">
        <f>SUMIFS('Source Data'!$P$2:$P$268,'Source Data'!$F$2:$F$268,"Included",'Source Data'!$E$2:$E$268,"Week 1",'Source Data'!$A$2:$A$268,"Google Ads")</f>
        <v>85116.07</v>
      </c>
      <c r="K7" s="8">
        <f>SUMIFS('Source Data'!$R$2:$R$268,'Source Data'!$F$2:$F$268,"Included",'Source Data'!$E$2:$E$268,"Week 1",'Source Data'!$A$2:$A$268,"Google Ads")</f>
        <v>0.0</v>
      </c>
      <c r="L7" s="8">
        <f>IFERROR(D7/C7,0)</f>
        <v>21775.34625</v>
      </c>
      <c r="M7" s="10">
        <f>IFERROR(F7/D7,0)</f>
        <v>0.6210693243664648</v>
      </c>
    </row>
    <row r="8" spans="1:13" ht="20" customHeight="1">
      <c r="A8" t="s">
        <v>47</v>
      </c>
      <c r="B8" t="s">
        <v>334</v>
      </c>
      <c r="C8" s="9">
        <f>COUNTIFS('Source Data'!$F$2:$F$268,"Included",'Source Data'!$E$2:$E$268,"Week 1",'Source Data'!$A$2:$A$268,"Direct &amp; Organic")</f>
        <v>52.0</v>
      </c>
      <c r="D8" s="8">
        <f>SUMIFS('Source Data'!$K$2:$K$268,'Source Data'!$F$2:$F$268,"Included",'Source Data'!$E$2:$E$268,"Week 1",'Source Data'!$A$2:$A$268,"Direct &amp; Organic")</f>
        <v>793046.8</v>
      </c>
      <c r="E8" s="9">
        <f>SUMIFS('Source Data'!$N$2:$N$268,'Source Data'!$F$2:$F$268,"Included",'Source Data'!$E$2:$E$268,"Week 1",'Source Data'!$A$2:$A$268,"Direct &amp; Organic")</f>
        <v>27.0</v>
      </c>
      <c r="F8" s="8">
        <f>SUMIFS('Source Data'!$L$2:$L$268,'Source Data'!$F$2:$F$268,"Included",'Source Data'!$E$2:$E$268,"Week 1",'Source Data'!$A$2:$A$268,"Direct &amp; Organic")</f>
        <v>403835.56</v>
      </c>
      <c r="G8" s="10">
        <f>IFERROR(E8/C8,0)</f>
        <v>0.5192307692307693</v>
      </c>
      <c r="H8" s="9">
        <f>SUMIFS('Source Data'!$O$2:$O$268,'Source Data'!$F$2:$F$268,"Included",'Source Data'!$E$2:$E$268,"Week 1",'Source Data'!$A$2:$A$268,"Direct &amp; Organic")</f>
        <v>21.0</v>
      </c>
      <c r="I8" s="8">
        <f>SUMIFS('Source Data'!$Q$2:$Q$268,'Source Data'!$F$2:$F$268,"Included",'Source Data'!$E$2:$E$268,"Week 1",'Source Data'!$A$2:$A$268,"Direct &amp; Organic")</f>
        <v>288772.84</v>
      </c>
      <c r="J8" s="8">
        <f>SUMIFS('Source Data'!$P$2:$P$268,'Source Data'!$F$2:$F$268,"Included",'Source Data'!$E$2:$E$268,"Week 1",'Source Data'!$A$2:$A$268,"Direct &amp; Organic")</f>
        <v>100438.4</v>
      </c>
      <c r="K8" s="8">
        <f>SUMIFS('Source Data'!$R$2:$R$268,'Source Data'!$F$2:$F$268,"Included",'Source Data'!$E$2:$E$268,"Week 1",'Source Data'!$A$2:$A$268,"Direct &amp; Organic")</f>
        <v>0.0</v>
      </c>
      <c r="L8" s="8">
        <f>IFERROR(D8/C8,0)</f>
        <v>15250.9</v>
      </c>
      <c r="M8" s="10">
        <f>IFERROR(F8/D8,0)</f>
        <v>0.5092203385727047</v>
      </c>
    </row>
    <row r="9" spans="1:13" ht="20" customHeight="1">
      <c r="A9" t="s">
        <v>47</v>
      </c>
      <c r="B9" t="s">
        <v>910</v>
      </c>
      <c r="C9" s="9">
        <f>COUNTIFS('Source Data'!$F$2:$F$268,"Included",'Source Data'!$E$2:$E$268,"Week 1",'Source Data'!$A$2:$A$268,"Referral")</f>
        <v>5.0</v>
      </c>
      <c r="D9" s="8">
        <f>SUMIFS('Source Data'!$K$2:$K$268,'Source Data'!$F$2:$F$268,"Included",'Source Data'!$E$2:$E$268,"Week 1",'Source Data'!$A$2:$A$268,"Referral")</f>
        <v>90845.09</v>
      </c>
      <c r="E9" s="9">
        <f>SUMIFS('Source Data'!$N$2:$N$268,'Source Data'!$F$2:$F$268,"Included",'Source Data'!$E$2:$E$268,"Week 1",'Source Data'!$A$2:$A$268,"Referral")</f>
        <v>2.0</v>
      </c>
      <c r="F9" s="8">
        <f>SUMIFS('Source Data'!$L$2:$L$268,'Source Data'!$F$2:$F$268,"Included",'Source Data'!$E$2:$E$268,"Week 1",'Source Data'!$A$2:$A$268,"Referral")</f>
        <v>76986.61</v>
      </c>
      <c r="G9" s="10">
        <f>IFERROR(E9/C9,0)</f>
        <v>0.4</v>
      </c>
      <c r="H9" s="9">
        <f>SUMIFS('Source Data'!$O$2:$O$268,'Source Data'!$F$2:$F$268,"Included",'Source Data'!$E$2:$E$268,"Week 1",'Source Data'!$A$2:$A$268,"Referral")</f>
        <v>2.0</v>
      </c>
      <c r="I9" s="8">
        <f>SUMIFS('Source Data'!$Q$2:$Q$268,'Source Data'!$F$2:$F$268,"Included",'Source Data'!$E$2:$E$268,"Week 1",'Source Data'!$A$2:$A$268,"Referral")</f>
        <v>7907.59</v>
      </c>
      <c r="J9" s="8">
        <f>SUMIFS('Source Data'!$P$2:$P$268,'Source Data'!$F$2:$F$268,"Included",'Source Data'!$E$2:$E$268,"Week 1",'Source Data'!$A$2:$A$268,"Referral")</f>
        <v>5950.89</v>
      </c>
      <c r="K9" s="8">
        <f>SUMIFS('Source Data'!$R$2:$R$268,'Source Data'!$F$2:$F$268,"Included",'Source Data'!$E$2:$E$268,"Week 1",'Source Data'!$A$2:$A$268,"Referral")</f>
        <v>0.0</v>
      </c>
      <c r="L9" s="8">
        <f>IFERROR(D9/C9,0)</f>
        <v>18169.018</v>
      </c>
      <c r="M9" s="10">
        <f>IFERROR(F9/D9,0)</f>
        <v>0.8474493227977429</v>
      </c>
    </row>
    <row r="10" spans="1:13" ht="20" customHeight="1">
      <c r="A10" t="s">
        <v>56</v>
      </c>
      <c r="B10" t="s">
        <v>30</v>
      </c>
      <c r="C10" s="9">
        <f>COUNTIFS('Source Data'!$F$2:$F$268,"Included",'Source Data'!$E$2:$E$268,"Week 2",'Source Data'!$A$2:$A$268,"Google Ads")</f>
        <v>12.0</v>
      </c>
      <c r="D10" s="8">
        <f>SUMIFS('Source Data'!$K$2:$K$268,'Source Data'!$F$2:$F$268,"Included",'Source Data'!$E$2:$E$268,"Week 2",'Source Data'!$A$2:$A$268,"Google Ads")</f>
        <v>232561.16</v>
      </c>
      <c r="E10" s="9">
        <f>SUMIFS('Source Data'!$N$2:$N$268,'Source Data'!$F$2:$F$268,"Included",'Source Data'!$E$2:$E$268,"Week 2",'Source Data'!$A$2:$A$268,"Google Ads")</f>
        <v>4.0</v>
      </c>
      <c r="F10" s="8">
        <f>SUMIFS('Source Data'!$L$2:$L$268,'Source Data'!$F$2:$F$268,"Included",'Source Data'!$E$2:$E$268,"Week 2",'Source Data'!$A$2:$A$268,"Google Ads")</f>
        <v>85278.66</v>
      </c>
      <c r="G10" s="10">
        <f>IFERROR(E10/C10,0)</f>
        <v>0.3333333333333333</v>
      </c>
      <c r="H10" s="9">
        <f>SUMIFS('Source Data'!$O$2:$O$268,'Source Data'!$F$2:$F$268,"Included",'Source Data'!$E$2:$E$268,"Week 2",'Source Data'!$A$2:$A$268,"Google Ads")</f>
        <v>4.0</v>
      </c>
      <c r="I10" s="8">
        <f>SUMIFS('Source Data'!$Q$2:$Q$268,'Source Data'!$F$2:$F$268,"Included",'Source Data'!$E$2:$E$268,"Week 2",'Source Data'!$A$2:$A$268,"Google Ads")</f>
        <v>81415.88</v>
      </c>
      <c r="J10" s="8">
        <f>SUMIFS('Source Data'!$P$2:$P$268,'Source Data'!$F$2:$F$268,"Included",'Source Data'!$E$2:$E$268,"Week 2",'Source Data'!$A$2:$A$268,"Google Ads")</f>
        <v>65866.62</v>
      </c>
      <c r="K10" s="8">
        <f>SUMIFS('Source Data'!$R$2:$R$268,'Source Data'!$F$2:$F$268,"Included",'Source Data'!$E$2:$E$268,"Week 2",'Source Data'!$A$2:$A$268,"Google Ads")</f>
        <v>0.0</v>
      </c>
      <c r="L10" s="8">
        <f>IFERROR(D10/C10,0)</f>
        <v>19380.096666666668</v>
      </c>
      <c r="M10" s="10">
        <f>IFERROR(F10/D10,0)</f>
        <v>0.3666934753851417</v>
      </c>
    </row>
    <row r="11" spans="1:13" ht="20" customHeight="1">
      <c r="A11" t="s">
        <v>56</v>
      </c>
      <c r="B11" t="s">
        <v>334</v>
      </c>
      <c r="C11" s="9">
        <f>COUNTIFS('Source Data'!$F$2:$F$268,"Included",'Source Data'!$E$2:$E$268,"Week 2",'Source Data'!$A$2:$A$268,"Direct &amp; Organic")</f>
        <v>58.0</v>
      </c>
      <c r="D11" s="8">
        <f>SUMIFS('Source Data'!$K$2:$K$268,'Source Data'!$F$2:$F$268,"Included",'Source Data'!$E$2:$E$268,"Week 2",'Source Data'!$A$2:$A$268,"Direct &amp; Organic")</f>
        <v>1071884.97</v>
      </c>
      <c r="E11" s="9">
        <f>SUMIFS('Source Data'!$N$2:$N$268,'Source Data'!$F$2:$F$268,"Included",'Source Data'!$E$2:$E$268,"Week 2",'Source Data'!$A$2:$A$268,"Direct &amp; Organic")</f>
        <v>30.0</v>
      </c>
      <c r="F11" s="8">
        <f>SUMIFS('Source Data'!$L$2:$L$268,'Source Data'!$F$2:$F$268,"Included",'Source Data'!$E$2:$E$268,"Week 2",'Source Data'!$A$2:$A$268,"Direct &amp; Organic")</f>
        <v>601332.86</v>
      </c>
      <c r="G11" s="10">
        <f>IFERROR(E11/C11,0)</f>
        <v>0.5172413793103449</v>
      </c>
      <c r="H11" s="9">
        <f>SUMIFS('Source Data'!$O$2:$O$268,'Source Data'!$F$2:$F$268,"Included",'Source Data'!$E$2:$E$268,"Week 2",'Source Data'!$A$2:$A$268,"Direct &amp; Organic")</f>
        <v>17.0</v>
      </c>
      <c r="I11" s="8">
        <f>SUMIFS('Source Data'!$Q$2:$Q$268,'Source Data'!$F$2:$F$268,"Included",'Source Data'!$E$2:$E$268,"Week 2",'Source Data'!$A$2:$A$268,"Direct &amp; Organic")</f>
        <v>312359.55</v>
      </c>
      <c r="J11" s="8">
        <f>SUMIFS('Source Data'!$P$2:$P$268,'Source Data'!$F$2:$F$268,"Included",'Source Data'!$E$2:$E$268,"Week 2",'Source Data'!$A$2:$A$268,"Direct &amp; Organic")</f>
        <v>126891.49</v>
      </c>
      <c r="K11" s="8">
        <f>SUMIFS('Source Data'!$R$2:$R$268,'Source Data'!$F$2:$F$268,"Included",'Source Data'!$E$2:$E$268,"Week 2",'Source Data'!$A$2:$A$268,"Direct &amp; Organic")</f>
        <v>31301.07</v>
      </c>
      <c r="L11" s="8">
        <f>IFERROR(D11/C11,0)</f>
        <v>18480.775344827587</v>
      </c>
      <c r="M11" s="10">
        <f>IFERROR(F11/D11,0)</f>
        <v>0.5610050302319287</v>
      </c>
    </row>
    <row r="12" spans="1:13" ht="20" customHeight="1">
      <c r="A12" t="s">
        <v>56</v>
      </c>
      <c r="B12" t="s">
        <v>910</v>
      </c>
      <c r="C12" s="9">
        <f>COUNTIFS('Source Data'!$F$2:$F$268,"Included",'Source Data'!$E$2:$E$268,"Week 2",'Source Data'!$A$2:$A$268,"Referral")</f>
        <v>13.0</v>
      </c>
      <c r="D12" s="8">
        <f>SUMIFS('Source Data'!$K$2:$K$268,'Source Data'!$F$2:$F$268,"Included",'Source Data'!$E$2:$E$268,"Week 2",'Source Data'!$A$2:$A$268,"Referral")</f>
        <v>208630.37</v>
      </c>
      <c r="E12" s="9">
        <f>SUMIFS('Source Data'!$N$2:$N$268,'Source Data'!$F$2:$F$268,"Included",'Source Data'!$E$2:$E$268,"Week 2",'Source Data'!$A$2:$A$268,"Referral")</f>
        <v>5.0</v>
      </c>
      <c r="F12" s="8">
        <f>SUMIFS('Source Data'!$L$2:$L$268,'Source Data'!$F$2:$F$268,"Included",'Source Data'!$E$2:$E$268,"Week 2",'Source Data'!$A$2:$A$268,"Referral")</f>
        <v>125783.22</v>
      </c>
      <c r="G12" s="10">
        <f>IFERROR(E12/C12,0)</f>
        <v>0.38461538461538464</v>
      </c>
      <c r="H12" s="9">
        <f>SUMIFS('Source Data'!$O$2:$O$268,'Source Data'!$F$2:$F$268,"Included",'Source Data'!$E$2:$E$268,"Week 2",'Source Data'!$A$2:$A$268,"Referral")</f>
        <v>3.0</v>
      </c>
      <c r="I12" s="8">
        <f>SUMIFS('Source Data'!$Q$2:$Q$268,'Source Data'!$F$2:$F$268,"Included",'Source Data'!$E$2:$E$268,"Week 2",'Source Data'!$A$2:$A$268,"Referral")</f>
        <v>43421.96</v>
      </c>
      <c r="J12" s="8">
        <f>SUMIFS('Source Data'!$P$2:$P$268,'Source Data'!$F$2:$F$268,"Included",'Source Data'!$E$2:$E$268,"Week 2",'Source Data'!$A$2:$A$268,"Referral")</f>
        <v>28484.65</v>
      </c>
      <c r="K12" s="8">
        <f>SUMIFS('Source Data'!$R$2:$R$268,'Source Data'!$F$2:$F$268,"Included",'Source Data'!$E$2:$E$268,"Week 2",'Source Data'!$A$2:$A$268,"Referral")</f>
        <v>10940.54</v>
      </c>
      <c r="L12" s="8">
        <f>IFERROR(D12/C12,0)</f>
        <v>16048.49</v>
      </c>
      <c r="M12" s="10">
        <f>IFERROR(F12/D12,0)</f>
        <v>0.6028998558551183</v>
      </c>
    </row>
    <row r="13" spans="1:13" ht="20" customHeight="1">
      <c r="A13" t="s">
        <v>33</v>
      </c>
      <c r="B13" t="s">
        <v>30</v>
      </c>
      <c r="C13" s="9">
        <f>COUNTIFS('Source Data'!$F$2:$F$268,"Included",'Source Data'!$E$2:$E$268,"Week 3",'Source Data'!$A$2:$A$268,"Google Ads")</f>
        <v>22.0</v>
      </c>
      <c r="D13" s="8">
        <f>SUMIFS('Source Data'!$K$2:$K$268,'Source Data'!$F$2:$F$268,"Included",'Source Data'!$E$2:$E$268,"Week 3",'Source Data'!$A$2:$A$268,"Google Ads")</f>
        <v>552631.53</v>
      </c>
      <c r="E13" s="9">
        <f>SUMIFS('Source Data'!$N$2:$N$268,'Source Data'!$F$2:$F$268,"Included",'Source Data'!$E$2:$E$268,"Week 3",'Source Data'!$A$2:$A$268,"Google Ads")</f>
        <v>7.0</v>
      </c>
      <c r="F13" s="8">
        <f>SUMIFS('Source Data'!$L$2:$L$268,'Source Data'!$F$2:$F$268,"Included",'Source Data'!$E$2:$E$268,"Week 3",'Source Data'!$A$2:$A$268,"Google Ads")</f>
        <v>100852.85</v>
      </c>
      <c r="G13" s="10">
        <f>IFERROR(E13/C13,0)</f>
        <v>0.3181818181818182</v>
      </c>
      <c r="H13" s="9">
        <f>SUMIFS('Source Data'!$O$2:$O$268,'Source Data'!$F$2:$F$268,"Included",'Source Data'!$E$2:$E$268,"Week 3",'Source Data'!$A$2:$A$268,"Google Ads")</f>
        <v>5.0</v>
      </c>
      <c r="I13" s="8">
        <f>SUMIFS('Source Data'!$Q$2:$Q$268,'Source Data'!$F$2:$F$268,"Included",'Source Data'!$E$2:$E$268,"Week 3",'Source Data'!$A$2:$A$268,"Google Ads")</f>
        <v>70828.57</v>
      </c>
      <c r="J13" s="8">
        <f>SUMIFS('Source Data'!$P$2:$P$268,'Source Data'!$F$2:$F$268,"Included",'Source Data'!$E$2:$E$268,"Week 3",'Source Data'!$A$2:$A$268,"Google Ads")</f>
        <v>370009.57</v>
      </c>
      <c r="K13" s="8">
        <f>SUMIFS('Source Data'!$R$2:$R$268,'Source Data'!$F$2:$F$268,"Included",'Source Data'!$E$2:$E$268,"Week 3",'Source Data'!$A$2:$A$268,"Google Ads")</f>
        <v>10940.54</v>
      </c>
      <c r="L13" s="8">
        <f>IFERROR(D13/C13,0)</f>
        <v>25119.615</v>
      </c>
      <c r="M13" s="10">
        <f>IFERROR(F13/D13,0)</f>
        <v>0.1824956494972337</v>
      </c>
    </row>
    <row r="14" spans="1:13" ht="20" customHeight="1">
      <c r="A14" t="s">
        <v>33</v>
      </c>
      <c r="B14" t="s">
        <v>334</v>
      </c>
      <c r="C14" s="9">
        <f>COUNTIFS('Source Data'!$F$2:$F$268,"Included",'Source Data'!$E$2:$E$268,"Week 3",'Source Data'!$A$2:$A$268,"Direct &amp; Organic")</f>
        <v>41.0</v>
      </c>
      <c r="D14" s="8">
        <f>SUMIFS('Source Data'!$K$2:$K$268,'Source Data'!$F$2:$F$268,"Included",'Source Data'!$E$2:$E$268,"Week 3",'Source Data'!$A$2:$A$268,"Direct &amp; Organic")</f>
        <v>684801.78</v>
      </c>
      <c r="E14" s="9">
        <f>SUMIFS('Source Data'!$N$2:$N$268,'Source Data'!$F$2:$F$268,"Included",'Source Data'!$E$2:$E$268,"Week 3",'Source Data'!$A$2:$A$268,"Direct &amp; Organic")</f>
        <v>18.0</v>
      </c>
      <c r="F14" s="8">
        <f>SUMIFS('Source Data'!$L$2:$L$268,'Source Data'!$F$2:$F$268,"Included",'Source Data'!$E$2:$E$268,"Week 3",'Source Data'!$A$2:$A$268,"Direct &amp; Organic")</f>
        <v>302360.43</v>
      </c>
      <c r="G14" s="10">
        <f>IFERROR(E14/C14,0)</f>
        <v>0.43902439024390244</v>
      </c>
      <c r="H14" s="9">
        <f>SUMIFS('Source Data'!$O$2:$O$268,'Source Data'!$F$2:$F$268,"Included",'Source Data'!$E$2:$E$268,"Week 3",'Source Data'!$A$2:$A$268,"Direct &amp; Organic")</f>
        <v>11.0</v>
      </c>
      <c r="I14" s="8">
        <f>SUMIFS('Source Data'!$Q$2:$Q$268,'Source Data'!$F$2:$F$268,"Included",'Source Data'!$E$2:$E$268,"Week 3",'Source Data'!$A$2:$A$268,"Direct &amp; Organic")</f>
        <v>224396.61</v>
      </c>
      <c r="J14" s="8">
        <f>SUMIFS('Source Data'!$P$2:$P$268,'Source Data'!$F$2:$F$268,"Included",'Source Data'!$E$2:$E$268,"Week 3",'Source Data'!$A$2:$A$268,"Direct &amp; Organic")</f>
        <v>129069.74</v>
      </c>
      <c r="K14" s="8">
        <f>SUMIFS('Source Data'!$R$2:$R$268,'Source Data'!$F$2:$F$268,"Included",'Source Data'!$E$2:$E$268,"Week 3",'Source Data'!$A$2:$A$268,"Direct &amp; Organic")</f>
        <v>28975.0</v>
      </c>
      <c r="L14" s="8">
        <f>IFERROR(D14/C14,0)</f>
        <v>16702.48243902439</v>
      </c>
      <c r="M14" s="10">
        <f>IFERROR(F14/D14,0)</f>
        <v>0.44152985408419937</v>
      </c>
    </row>
    <row r="15" spans="1:13" ht="20" customHeight="1">
      <c r="A15" t="s">
        <v>33</v>
      </c>
      <c r="B15" t="s">
        <v>910</v>
      </c>
      <c r="C15" s="9">
        <f>COUNTIFS('Source Data'!$F$2:$F$268,"Included",'Source Data'!$E$2:$E$268,"Week 3",'Source Data'!$A$2:$A$268,"Referral")</f>
        <v>8.0</v>
      </c>
      <c r="D15" s="8">
        <f>SUMIFS('Source Data'!$K$2:$K$268,'Source Data'!$F$2:$F$268,"Included",'Source Data'!$E$2:$E$268,"Week 3",'Source Data'!$A$2:$A$268,"Referral")</f>
        <v>134840.53</v>
      </c>
      <c r="E15" s="9">
        <f>SUMIFS('Source Data'!$N$2:$N$268,'Source Data'!$F$2:$F$268,"Included",'Source Data'!$E$2:$E$268,"Week 3",'Source Data'!$A$2:$A$268,"Referral")</f>
        <v>3.0</v>
      </c>
      <c r="F15" s="8">
        <f>SUMIFS('Source Data'!$L$2:$L$268,'Source Data'!$F$2:$F$268,"Included",'Source Data'!$E$2:$E$268,"Week 3",'Source Data'!$A$2:$A$268,"Referral")</f>
        <v>70459.11</v>
      </c>
      <c r="G15" s="10">
        <f>IFERROR(E15/C15,0)</f>
        <v>0.375</v>
      </c>
      <c r="H15" s="9">
        <f>SUMIFS('Source Data'!$O$2:$O$268,'Source Data'!$F$2:$F$268,"Included",'Source Data'!$E$2:$E$268,"Week 3",'Source Data'!$A$2:$A$268,"Referral")</f>
        <v>4.0</v>
      </c>
      <c r="I15" s="8">
        <f>SUMIFS('Source Data'!$Q$2:$Q$268,'Source Data'!$F$2:$F$268,"Included",'Source Data'!$E$2:$E$268,"Week 3",'Source Data'!$A$2:$A$268,"Referral")</f>
        <v>50646.24</v>
      </c>
      <c r="J15" s="8">
        <f>SUMIFS('Source Data'!$P$2:$P$268,'Source Data'!$F$2:$F$268,"Included",'Source Data'!$E$2:$E$268,"Week 3",'Source Data'!$A$2:$A$268,"Referral")</f>
        <v>13735.18</v>
      </c>
      <c r="K15" s="8">
        <f>SUMIFS('Source Data'!$R$2:$R$268,'Source Data'!$F$2:$F$268,"Included",'Source Data'!$E$2:$E$268,"Week 3",'Source Data'!$A$2:$A$268,"Referral")</f>
        <v>0.0</v>
      </c>
      <c r="L15" s="8">
        <f>IFERROR(D15/C15,0)</f>
        <v>16855.06625</v>
      </c>
      <c r="M15" s="10">
        <f>IFERROR(F15/D15,0)</f>
        <v>0.52253658451209</v>
      </c>
    </row>
    <row r="16" spans="1:13" ht="20" customHeight="1">
      <c r="A16" t="s">
        <v>146</v>
      </c>
      <c r="B16" t="s">
        <v>30</v>
      </c>
      <c r="C16" s="9">
        <f>COUNTIFS('Source Data'!$F$2:$F$268,"Included",'Source Data'!$E$2:$E$268,"Week 4",'Source Data'!$A$2:$A$268,"Google Ads")</f>
        <v>9.0</v>
      </c>
      <c r="D16" s="8">
        <f>SUMIFS('Source Data'!$K$2:$K$268,'Source Data'!$F$2:$F$268,"Included",'Source Data'!$E$2:$E$268,"Week 4",'Source Data'!$A$2:$A$268,"Google Ads")</f>
        <v>165308.48</v>
      </c>
      <c r="E16" s="9">
        <f>SUMIFS('Source Data'!$N$2:$N$268,'Source Data'!$F$2:$F$268,"Included",'Source Data'!$E$2:$E$268,"Week 4",'Source Data'!$A$2:$A$268,"Google Ads")</f>
        <v>0.0</v>
      </c>
      <c r="F16" s="8">
        <f>SUMIFS('Source Data'!$L$2:$L$268,'Source Data'!$F$2:$F$268,"Included",'Source Data'!$E$2:$E$268,"Week 4",'Source Data'!$A$2:$A$268,"Google Ads")</f>
        <v>0.0</v>
      </c>
      <c r="G16" s="10">
        <f>IFERROR(E16/C16,0)</f>
        <v>0.0</v>
      </c>
      <c r="H16" s="9">
        <f>SUMIFS('Source Data'!$O$2:$O$268,'Source Data'!$F$2:$F$268,"Included",'Source Data'!$E$2:$E$268,"Week 4",'Source Data'!$A$2:$A$268,"Google Ads")</f>
        <v>3.0</v>
      </c>
      <c r="I16" s="8">
        <f>SUMIFS('Source Data'!$Q$2:$Q$268,'Source Data'!$F$2:$F$268,"Included",'Source Data'!$E$2:$E$268,"Week 4",'Source Data'!$A$2:$A$268,"Google Ads")</f>
        <v>63031.24</v>
      </c>
      <c r="J16" s="8">
        <f>SUMIFS('Source Data'!$P$2:$P$268,'Source Data'!$F$2:$F$268,"Included",'Source Data'!$E$2:$E$268,"Week 4",'Source Data'!$A$2:$A$268,"Google Ads")</f>
        <v>102277.24</v>
      </c>
      <c r="K16" s="8">
        <f>SUMIFS('Source Data'!$R$2:$R$268,'Source Data'!$F$2:$F$268,"Included",'Source Data'!$E$2:$E$268,"Week 4",'Source Data'!$A$2:$A$268,"Google Ads")</f>
        <v>0.0</v>
      </c>
      <c r="L16" s="8">
        <f>IFERROR(D16/C16,0)</f>
        <v>18367.608888888888</v>
      </c>
      <c r="M16" s="10">
        <f>IFERROR(F16/D16,0)</f>
        <v>0.0</v>
      </c>
    </row>
    <row r="17" spans="1:13" ht="20" customHeight="1">
      <c r="A17" t="s">
        <v>146</v>
      </c>
      <c r="B17" t="s">
        <v>334</v>
      </c>
      <c r="C17" s="9">
        <f>COUNTIFS('Source Data'!$F$2:$F$268,"Included",'Source Data'!$E$2:$E$268,"Week 4",'Source Data'!$A$2:$A$268,"Direct &amp; Organic")</f>
        <v>16.0</v>
      </c>
      <c r="D17" s="8">
        <f>SUMIFS('Source Data'!$K$2:$K$268,'Source Data'!$F$2:$F$268,"Included",'Source Data'!$E$2:$E$268,"Week 4",'Source Data'!$A$2:$A$268,"Direct &amp; Organic")</f>
        <v>312389.11</v>
      </c>
      <c r="E17" s="9">
        <f>SUMIFS('Source Data'!$N$2:$N$268,'Source Data'!$F$2:$F$268,"Included",'Source Data'!$E$2:$E$268,"Week 4",'Source Data'!$A$2:$A$268,"Direct &amp; Organic")</f>
        <v>0.0</v>
      </c>
      <c r="F17" s="8">
        <f>SUMIFS('Source Data'!$L$2:$L$268,'Source Data'!$F$2:$F$268,"Included",'Source Data'!$E$2:$E$268,"Week 4",'Source Data'!$A$2:$A$268,"Direct &amp; Organic")</f>
        <v>0.0</v>
      </c>
      <c r="G17" s="10">
        <f>IFERROR(E17/C17,0)</f>
        <v>0.0</v>
      </c>
      <c r="H17" s="9">
        <f>SUMIFS('Source Data'!$O$2:$O$268,'Source Data'!$F$2:$F$268,"Included",'Source Data'!$E$2:$E$268,"Week 4",'Source Data'!$A$2:$A$268,"Direct &amp; Organic")</f>
        <v>1.0</v>
      </c>
      <c r="I17" s="8">
        <f>SUMIFS('Source Data'!$Q$2:$Q$268,'Source Data'!$F$2:$F$268,"Included",'Source Data'!$E$2:$E$268,"Week 4",'Source Data'!$A$2:$A$268,"Direct &amp; Organic")</f>
        <v>7812.14</v>
      </c>
      <c r="J17" s="8">
        <f>SUMIFS('Source Data'!$P$2:$P$268,'Source Data'!$F$2:$F$268,"Included",'Source Data'!$E$2:$E$268,"Week 4",'Source Data'!$A$2:$A$268,"Direct &amp; Organic")</f>
        <v>304576.97</v>
      </c>
      <c r="K17" s="8">
        <f>SUMIFS('Source Data'!$R$2:$R$268,'Source Data'!$F$2:$F$268,"Included",'Source Data'!$E$2:$E$268,"Week 4",'Source Data'!$A$2:$A$268,"Direct &amp; Organic")</f>
        <v>0.0</v>
      </c>
      <c r="L17" s="8">
        <f>IFERROR(D17/C17,0)</f>
        <v>19524.319375</v>
      </c>
      <c r="M17" s="10">
        <f>IFERROR(F17/D17,0)</f>
        <v>0.0</v>
      </c>
    </row>
    <row r="18" spans="1:13" ht="20" customHeight="1">
      <c r="A18" t="s">
        <v>146</v>
      </c>
      <c r="B18" t="s">
        <v>910</v>
      </c>
      <c r="C18" s="9">
        <f>COUNTIFS('Source Data'!$F$2:$F$268,"Included",'Source Data'!$E$2:$E$268,"Week 4",'Source Data'!$A$2:$A$268,"Referral")</f>
        <v>2.0</v>
      </c>
      <c r="D18" s="8">
        <f>SUMIFS('Source Data'!$K$2:$K$268,'Source Data'!$F$2:$F$268,"Included",'Source Data'!$E$2:$E$268,"Week 4",'Source Data'!$A$2:$A$268,"Referral")</f>
        <v>30268.12</v>
      </c>
      <c r="E18" s="9">
        <f>SUMIFS('Source Data'!$N$2:$N$268,'Source Data'!$F$2:$F$268,"Included",'Source Data'!$E$2:$E$268,"Week 4",'Source Data'!$A$2:$A$268,"Referral")</f>
        <v>0.0</v>
      </c>
      <c r="F18" s="8">
        <f>SUMIFS('Source Data'!$L$2:$L$268,'Source Data'!$F$2:$F$268,"Included",'Source Data'!$E$2:$E$268,"Week 4",'Source Data'!$A$2:$A$268,"Referral")</f>
        <v>0.0</v>
      </c>
      <c r="G18" s="10">
        <f>IFERROR(E18/C18,0)</f>
        <v>0.0</v>
      </c>
      <c r="H18" s="9">
        <f>SUMIFS('Source Data'!$O$2:$O$268,'Source Data'!$F$2:$F$268,"Included",'Source Data'!$E$2:$E$268,"Week 4",'Source Data'!$A$2:$A$268,"Referral")</f>
        <v>2.0</v>
      </c>
      <c r="I18" s="8">
        <f>SUMIFS('Source Data'!$Q$2:$Q$268,'Source Data'!$F$2:$F$268,"Included",'Source Data'!$E$2:$E$268,"Week 4",'Source Data'!$A$2:$A$268,"Referral")</f>
        <v>30268.12</v>
      </c>
      <c r="J18" s="8">
        <f>SUMIFS('Source Data'!$P$2:$P$268,'Source Data'!$F$2:$F$268,"Included",'Source Data'!$E$2:$E$268,"Week 4",'Source Data'!$A$2:$A$268,"Referral")</f>
        <v>0.0</v>
      </c>
      <c r="K18" s="8">
        <f>SUMIFS('Source Data'!$R$2:$R$268,'Source Data'!$F$2:$F$268,"Included",'Source Data'!$E$2:$E$268,"Week 4",'Source Data'!$A$2:$A$268,"Referral")</f>
        <v>0.0</v>
      </c>
      <c r="L18" s="8">
        <f>IFERROR(D18/C18,0)</f>
        <v>15134.06</v>
      </c>
      <c r="M18" s="10">
        <f>IFERROR(F18/D18,0)</f>
        <v>0.0</v>
      </c>
    </row>
  </sheetData>
  <autoFilter ref="A6:M18"/>
  <mergeCells count="2">
    <mergeCell ref="A1:M2"/>
    <mergeCell ref="A3:M4"/>
  </mergeCells>
  <conditionalFormatting sqref="D7:D18">
    <cfRule type="dataBar" priority="2">
      <dataBar>
        <cfvo type="min" val="0"/>
        <cfvo type="max" val="0"/>
        <color rgb="FF008C95"/>
      </dataBar>
    </cfRule>
  </conditionalFormatting>
  <conditionalFormatting sqref="G7:G18">
    <cfRule type="colorScale" priority="1">
      <colorScale>
        <cfvo type="min" val="0"/>
        <cfvo type="percentile" val="50"/>
        <cfvo type="max" val="0"/>
        <color rgb="FFF8696B"/>
        <color rgb="FFFFEB84"/>
        <color rgb="FF63BE7B"/>
      </colorScale>
    </cfRule>
  </conditionalFormatting>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sheetPr>
    <tabColor rgb="FF008C95"/>
    <pageSetUpPr fitToPage="1"/>
  </sheetPr>
  <dimension ref="A1:L9"/>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20" customHeight="1"/>
  <cols>
    <col min="1" max="1" width="23.7109375" customWidth="1"/>
    <col min="2" max="12" width="21.7109375" customWidth="1"/>
  </cols>
  <sheetData>
    <row r="1" spans="1:12" ht="20" customHeight="1">
      <c r="A1" s="1" t="s">
        <v>1740</v>
      </c>
      <c r="B1" s="1"/>
      <c r="C1" s="1"/>
      <c r="D1" s="1"/>
      <c r="E1" s="1"/>
      <c r="F1" s="1"/>
      <c r="G1" s="1"/>
      <c r="H1" s="1"/>
      <c r="I1" s="1"/>
      <c r="J1" s="1"/>
      <c r="K1" s="1"/>
      <c r="L1" s="1"/>
    </row>
    <row r="2" spans="1:12" ht="20" customHeight="1">
      <c r="A2" s="1"/>
      <c r="B2" s="1"/>
      <c r="C2" s="1"/>
      <c r="D2" s="1"/>
      <c r="E2" s="1"/>
      <c r="F2" s="1"/>
      <c r="G2" s="1"/>
      <c r="H2" s="1"/>
      <c r="I2" s="1"/>
      <c r="J2" s="1"/>
      <c r="K2" s="1"/>
      <c r="L2" s="1"/>
    </row>
    <row r="3" spans="1:12" ht="23" customHeight="1">
      <c r="A3" s="2" t="s">
        <v>1732</v>
      </c>
      <c r="B3" s="2"/>
      <c r="C3" s="2"/>
      <c r="D3" s="2"/>
      <c r="E3" s="2"/>
      <c r="F3" s="2"/>
      <c r="G3" s="2"/>
      <c r="H3" s="2"/>
      <c r="I3" s="2"/>
      <c r="J3" s="2"/>
      <c r="K3" s="2"/>
      <c r="L3" s="2"/>
    </row>
    <row r="4" spans="1:12" ht="20" customHeight="1">
      <c r="A4" s="2"/>
      <c r="B4" s="2"/>
      <c r="C4" s="2"/>
      <c r="D4" s="2"/>
      <c r="E4" s="2"/>
      <c r="F4" s="2"/>
      <c r="G4" s="2"/>
      <c r="H4" s="2"/>
      <c r="I4" s="2"/>
      <c r="J4" s="2"/>
      <c r="K4" s="2"/>
      <c r="L4" s="2"/>
    </row>
    <row r="6" spans="1:12" ht="34" customHeight="1">
      <c r="A6" s="5" t="s">
        <v>8</v>
      </c>
      <c r="B6" s="5" t="s">
        <v>1733</v>
      </c>
      <c r="C6" s="5" t="s">
        <v>12</v>
      </c>
      <c r="D6" s="5" t="s">
        <v>1734</v>
      </c>
      <c r="E6" s="5" t="s">
        <v>13</v>
      </c>
      <c r="F6" s="5" t="s">
        <v>1735</v>
      </c>
      <c r="G6" s="5" t="s">
        <v>1736</v>
      </c>
      <c r="H6" s="5" t="s">
        <v>18</v>
      </c>
      <c r="I6" s="5" t="s">
        <v>17</v>
      </c>
      <c r="J6" s="5" t="s">
        <v>19</v>
      </c>
      <c r="K6" s="5" t="s">
        <v>1737</v>
      </c>
      <c r="L6" s="5" t="s">
        <v>1738</v>
      </c>
    </row>
    <row r="7" spans="1:12" ht="20" customHeight="1">
      <c r="A7" t="s">
        <v>540</v>
      </c>
      <c r="B7" s="9">
        <f>COUNTIFS('Source Data'!$F$2:$F$268,"Included",'Source Data'!$G$2:$G$268,"Chatbot")</f>
        <v>1.0</v>
      </c>
      <c r="C7" s="8">
        <f>SUMIFS('Source Data'!$K$2:$K$268,'Source Data'!$F$2:$F$268,"Included",'Source Data'!$G$2:$G$268,"Chatbot")</f>
        <v>71428.57</v>
      </c>
      <c r="D7" s="9">
        <f>SUMIFS('Source Data'!$N$2:$N$268,'Source Data'!$F$2:$F$268,"Included",'Source Data'!$G$2:$G$268,"Chatbot")</f>
        <v>0.0</v>
      </c>
      <c r="E7" s="8">
        <f>SUMIFS('Source Data'!$L$2:$L$268,'Source Data'!$F$2:$F$268,"Included",'Source Data'!$G$2:$G$268,"Chatbot")</f>
        <v>0.0</v>
      </c>
      <c r="F7" s="10">
        <f>IFERROR(D7/B7,0)</f>
        <v>0.0</v>
      </c>
      <c r="G7" s="9">
        <f>SUMIFS('Source Data'!$O$2:$O$268,'Source Data'!$F$2:$F$268,"Included",'Source Data'!$G$2:$G$268,"Chatbot")</f>
        <v>0.0</v>
      </c>
      <c r="H7" s="8">
        <f>SUMIFS('Source Data'!$Q$2:$Q$268,'Source Data'!$F$2:$F$268,"Included",'Source Data'!$G$2:$G$268,"Chatbot")</f>
        <v>0.0</v>
      </c>
      <c r="I7" s="8">
        <f>SUMIFS('Source Data'!$P$2:$P$268,'Source Data'!$F$2:$F$268,"Included",'Source Data'!$G$2:$G$268,"Chatbot")</f>
        <v>71428.57</v>
      </c>
      <c r="J7" s="8">
        <f>SUMIFS('Source Data'!$R$2:$R$268,'Source Data'!$F$2:$F$268,"Included",'Source Data'!$G$2:$G$268,"Chatbot")</f>
        <v>0.0</v>
      </c>
      <c r="K7" s="8">
        <f>IFERROR(C7/B7,0)</f>
        <v>71428.57</v>
      </c>
      <c r="L7" s="10">
        <f>IFERROR(E7/C7,0)</f>
        <v>0.0</v>
      </c>
    </row>
    <row r="8" spans="1:12" ht="20" customHeight="1">
      <c r="A8" t="s">
        <v>342</v>
      </c>
      <c r="B8" s="9">
        <f>COUNTIFS('Source Data'!$F$2:$F$268,"Included",'Source Data'!$G$2:$G$268,"Fb")</f>
        <v>9.0</v>
      </c>
      <c r="C8" s="8">
        <f>SUMIFS('Source Data'!$K$2:$K$268,'Source Data'!$F$2:$F$268,"Included",'Source Data'!$G$2:$G$268,"Fb")</f>
        <v>144461.16</v>
      </c>
      <c r="D8" s="9">
        <f>SUMIFS('Source Data'!$N$2:$N$268,'Source Data'!$F$2:$F$268,"Included",'Source Data'!$G$2:$G$268,"Fb")</f>
        <v>8.0</v>
      </c>
      <c r="E8" s="8">
        <f>SUMIFS('Source Data'!$L$2:$L$268,'Source Data'!$F$2:$F$268,"Included",'Source Data'!$G$2:$G$268,"Fb")</f>
        <v>128788.48</v>
      </c>
      <c r="F8" s="10">
        <f>IFERROR(D8/B8,0)</f>
        <v>0.8888888888888888</v>
      </c>
      <c r="G8" s="9">
        <f>SUMIFS('Source Data'!$O$2:$O$268,'Source Data'!$F$2:$F$268,"Included",'Source Data'!$G$2:$G$268,"Fb")</f>
        <v>0.0</v>
      </c>
      <c r="H8" s="8">
        <f>SUMIFS('Source Data'!$Q$2:$Q$268,'Source Data'!$F$2:$F$268,"Included",'Source Data'!$G$2:$G$268,"Fb")</f>
        <v>0.0</v>
      </c>
      <c r="I8" s="8">
        <f>SUMIFS('Source Data'!$P$2:$P$268,'Source Data'!$F$2:$F$268,"Included",'Source Data'!$G$2:$G$268,"Fb")</f>
        <v>15672.68</v>
      </c>
      <c r="J8" s="8">
        <f>SUMIFS('Source Data'!$R$2:$R$268,'Source Data'!$F$2:$F$268,"Included",'Source Data'!$G$2:$G$268,"Fb")</f>
        <v>0.0</v>
      </c>
      <c r="K8" s="8">
        <f>IFERROR(C8/B8,0)</f>
        <v>16051.24</v>
      </c>
      <c r="L8" s="10">
        <f>IFERROR(E8/C8,0)</f>
        <v>0.8915093856369422</v>
      </c>
    </row>
    <row r="9" spans="1:12" ht="20" customHeight="1">
      <c r="A9" t="s">
        <v>35</v>
      </c>
      <c r="B9" s="9">
        <f>COUNTIFS('Source Data'!$F$2:$F$268,"Included",'Source Data'!$G$2:$G$268,"Website")</f>
        <v>252.0</v>
      </c>
      <c r="C9" s="8">
        <f>SUMIFS('Source Data'!$K$2:$K$268,'Source Data'!$F$2:$F$268,"Included",'Source Data'!$G$2:$G$268,"Website")</f>
        <v>4583926.52</v>
      </c>
      <c r="D9" s="9">
        <f>SUMIFS('Source Data'!$N$2:$N$268,'Source Data'!$F$2:$F$268,"Included",'Source Data'!$G$2:$G$268,"Website")</f>
        <v>103.0</v>
      </c>
      <c r="E9" s="8">
        <f>SUMIFS('Source Data'!$L$2:$L$268,'Source Data'!$F$2:$F$268,"Included",'Source Data'!$G$2:$G$268,"Website")</f>
        <v>1962676.81</v>
      </c>
      <c r="F9" s="10">
        <f>IFERROR(D9/B9,0)</f>
        <v>0.4087301587301587</v>
      </c>
      <c r="G9" s="9">
        <f>SUMIFS('Source Data'!$O$2:$O$268,'Source Data'!$F$2:$F$268,"Included",'Source Data'!$G$2:$G$268,"Website")</f>
        <v>79.0</v>
      </c>
      <c r="H9" s="8">
        <f>SUMIFS('Source Data'!$Q$2:$Q$268,'Source Data'!$F$2:$F$268,"Included",'Source Data'!$G$2:$G$268,"Website")</f>
        <v>1293776.99</v>
      </c>
      <c r="I9" s="8">
        <f>SUMIFS('Source Data'!$P$2:$P$268,'Source Data'!$F$2:$F$268,"Included",'Source Data'!$G$2:$G$268,"Website")</f>
        <v>1245315.57</v>
      </c>
      <c r="J9" s="8">
        <f>SUMIFS('Source Data'!$R$2:$R$268,'Source Data'!$F$2:$F$268,"Included",'Source Data'!$G$2:$G$268,"Website")</f>
        <v>82157.15</v>
      </c>
      <c r="K9" s="8">
        <f>IFERROR(C9/B9,0)</f>
        <v>18190.184603174603</v>
      </c>
      <c r="L9" s="10">
        <f>IFERROR(E9/C9,0)</f>
        <v>0.42816498070741327</v>
      </c>
    </row>
  </sheetData>
  <autoFilter ref="A6:L9"/>
  <mergeCells count="2">
    <mergeCell ref="A1:L2"/>
    <mergeCell ref="A3:L4"/>
  </mergeCells>
  <conditionalFormatting sqref="C7:C9">
    <cfRule type="dataBar" priority="2">
      <dataBar>
        <cfvo type="min" val="0"/>
        <cfvo type="max" val="0"/>
        <color rgb="FF008C95"/>
      </dataBar>
    </cfRule>
  </conditionalFormatting>
  <conditionalFormatting sqref="F7:F9">
    <cfRule type="colorScale" priority="1">
      <colorScale>
        <cfvo type="min" val="0"/>
        <cfvo type="percentile" val="50"/>
        <cfvo type="max" val="0"/>
        <color rgb="FFF8696B"/>
        <color rgb="FFFFEB84"/>
        <color rgb="FF63BE7B"/>
      </colorScale>
    </cfRule>
  </conditionalFormatting>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sheetPr>
    <tabColor rgb="FF008C95"/>
    <pageSetUpPr fitToPage="1"/>
  </sheetPr>
  <dimension ref="A1:M15"/>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20" customHeight="1"/>
  <cols>
    <col min="1" max="2" width="23.7109375" customWidth="1"/>
    <col min="3" max="13" width="21.7109375" customWidth="1"/>
  </cols>
  <sheetData>
    <row r="1" spans="1:13" ht="20" customHeight="1">
      <c r="A1" s="1" t="s">
        <v>1741</v>
      </c>
      <c r="B1" s="1"/>
      <c r="C1" s="1"/>
      <c r="D1" s="1"/>
      <c r="E1" s="1"/>
      <c r="F1" s="1"/>
      <c r="G1" s="1"/>
      <c r="H1" s="1"/>
      <c r="I1" s="1"/>
      <c r="J1" s="1"/>
      <c r="K1" s="1"/>
      <c r="L1" s="1"/>
      <c r="M1" s="1"/>
    </row>
    <row r="2" spans="1:13" ht="20" customHeight="1">
      <c r="A2" s="1"/>
      <c r="B2" s="1"/>
      <c r="C2" s="1"/>
      <c r="D2" s="1"/>
      <c r="E2" s="1"/>
      <c r="F2" s="1"/>
      <c r="G2" s="1"/>
      <c r="H2" s="1"/>
      <c r="I2" s="1"/>
      <c r="J2" s="1"/>
      <c r="K2" s="1"/>
      <c r="L2" s="1"/>
      <c r="M2" s="1"/>
    </row>
    <row r="3" spans="1:13" ht="23" customHeight="1">
      <c r="A3" s="2" t="s">
        <v>1732</v>
      </c>
      <c r="B3" s="2"/>
      <c r="C3" s="2"/>
      <c r="D3" s="2"/>
      <c r="E3" s="2"/>
      <c r="F3" s="2"/>
      <c r="G3" s="2"/>
      <c r="H3" s="2"/>
      <c r="I3" s="2"/>
      <c r="J3" s="2"/>
      <c r="K3" s="2"/>
      <c r="L3" s="2"/>
      <c r="M3" s="2"/>
    </row>
    <row r="4" spans="1:13" ht="20" customHeight="1">
      <c r="A4" s="2"/>
      <c r="B4" s="2"/>
      <c r="C4" s="2"/>
      <c r="D4" s="2"/>
      <c r="E4" s="2"/>
      <c r="F4" s="2"/>
      <c r="G4" s="2"/>
      <c r="H4" s="2"/>
      <c r="I4" s="2"/>
      <c r="J4" s="2"/>
      <c r="K4" s="2"/>
      <c r="L4" s="2"/>
      <c r="M4" s="2"/>
    </row>
    <row r="6" spans="1:13" ht="34" customHeight="1">
      <c r="A6" s="5" t="s">
        <v>2</v>
      </c>
      <c r="B6" s="5" t="s">
        <v>8</v>
      </c>
      <c r="C6" s="5" t="s">
        <v>1733</v>
      </c>
      <c r="D6" s="5" t="s">
        <v>12</v>
      </c>
      <c r="E6" s="5" t="s">
        <v>1734</v>
      </c>
      <c r="F6" s="5" t="s">
        <v>13</v>
      </c>
      <c r="G6" s="5" t="s">
        <v>1735</v>
      </c>
      <c r="H6" s="5" t="s">
        <v>1736</v>
      </c>
      <c r="I6" s="5" t="s">
        <v>18</v>
      </c>
      <c r="J6" s="5" t="s">
        <v>17</v>
      </c>
      <c r="K6" s="5" t="s">
        <v>19</v>
      </c>
      <c r="L6" s="5" t="s">
        <v>1737</v>
      </c>
      <c r="M6" s="5" t="s">
        <v>1738</v>
      </c>
    </row>
    <row r="7" spans="1:13" ht="20" customHeight="1">
      <c r="A7" t="s">
        <v>30</v>
      </c>
      <c r="B7" t="s">
        <v>540</v>
      </c>
      <c r="C7" s="9">
        <f>COUNTIFS('Source Data'!$F$2:$F$268,"Included",'Source Data'!$A$2:$A$268,"Google Ads",'Source Data'!$G$2:$G$268,"Chatbot")</f>
        <v>0.0</v>
      </c>
      <c r="D7" s="8">
        <f>SUMIFS('Source Data'!$K$2:$K$268,'Source Data'!$F$2:$F$268,"Included",'Source Data'!$A$2:$A$268,"Google Ads",'Source Data'!$G$2:$G$268,"Chatbot")</f>
        <v>0.0</v>
      </c>
      <c r="E7" s="9">
        <f>SUMIFS('Source Data'!$N$2:$N$268,'Source Data'!$F$2:$F$268,"Included",'Source Data'!$A$2:$A$268,"Google Ads",'Source Data'!$G$2:$G$268,"Chatbot")</f>
        <v>0.0</v>
      </c>
      <c r="F7" s="8">
        <f>SUMIFS('Source Data'!$L$2:$L$268,'Source Data'!$F$2:$F$268,"Included",'Source Data'!$A$2:$A$268,"Google Ads",'Source Data'!$G$2:$G$268,"Chatbot")</f>
        <v>0.0</v>
      </c>
      <c r="G7" s="10">
        <f>IFERROR(E7/C7,0)</f>
        <v>0.0</v>
      </c>
      <c r="H7" s="9">
        <f>SUMIFS('Source Data'!$O$2:$O$268,'Source Data'!$F$2:$F$268,"Included",'Source Data'!$A$2:$A$268,"Google Ads",'Source Data'!$G$2:$G$268,"Chatbot")</f>
        <v>0.0</v>
      </c>
      <c r="I7" s="8">
        <f>SUMIFS('Source Data'!$Q$2:$Q$268,'Source Data'!$F$2:$F$268,"Included",'Source Data'!$A$2:$A$268,"Google Ads",'Source Data'!$G$2:$G$268,"Chatbot")</f>
        <v>0.0</v>
      </c>
      <c r="J7" s="8">
        <f>SUMIFS('Source Data'!$P$2:$P$268,'Source Data'!$F$2:$F$268,"Included",'Source Data'!$A$2:$A$268,"Google Ads",'Source Data'!$G$2:$G$268,"Chatbot")</f>
        <v>0.0</v>
      </c>
      <c r="K7" s="8">
        <f>SUMIFS('Source Data'!$R$2:$R$268,'Source Data'!$F$2:$F$268,"Included",'Source Data'!$A$2:$A$268,"Google Ads",'Source Data'!$G$2:$G$268,"Chatbot")</f>
        <v>0.0</v>
      </c>
      <c r="L7" s="8">
        <f>IFERROR(D7/C7,0)</f>
        <v>0.0</v>
      </c>
      <c r="M7" s="10">
        <f>IFERROR(F7/D7,0)</f>
        <v>0.0</v>
      </c>
    </row>
    <row r="8" spans="1:13" ht="20" customHeight="1">
      <c r="A8" t="s">
        <v>30</v>
      </c>
      <c r="B8" t="s">
        <v>342</v>
      </c>
      <c r="C8" s="9">
        <f>COUNTIFS('Source Data'!$F$2:$F$268,"Included",'Source Data'!$A$2:$A$268,"Google Ads",'Source Data'!$G$2:$G$268,"Fb")</f>
        <v>0.0</v>
      </c>
      <c r="D8" s="8">
        <f>SUMIFS('Source Data'!$K$2:$K$268,'Source Data'!$F$2:$F$268,"Included",'Source Data'!$A$2:$A$268,"Google Ads",'Source Data'!$G$2:$G$268,"Fb")</f>
        <v>0.0</v>
      </c>
      <c r="E8" s="9">
        <f>SUMIFS('Source Data'!$N$2:$N$268,'Source Data'!$F$2:$F$268,"Included",'Source Data'!$A$2:$A$268,"Google Ads",'Source Data'!$G$2:$G$268,"Fb")</f>
        <v>0.0</v>
      </c>
      <c r="F8" s="8">
        <f>SUMIFS('Source Data'!$L$2:$L$268,'Source Data'!$F$2:$F$268,"Included",'Source Data'!$A$2:$A$268,"Google Ads",'Source Data'!$G$2:$G$268,"Fb")</f>
        <v>0.0</v>
      </c>
      <c r="G8" s="10">
        <f>IFERROR(E8/C8,0)</f>
        <v>0.0</v>
      </c>
      <c r="H8" s="9">
        <f>SUMIFS('Source Data'!$O$2:$O$268,'Source Data'!$F$2:$F$268,"Included",'Source Data'!$A$2:$A$268,"Google Ads",'Source Data'!$G$2:$G$268,"Fb")</f>
        <v>0.0</v>
      </c>
      <c r="I8" s="8">
        <f>SUMIFS('Source Data'!$Q$2:$Q$268,'Source Data'!$F$2:$F$268,"Included",'Source Data'!$A$2:$A$268,"Google Ads",'Source Data'!$G$2:$G$268,"Fb")</f>
        <v>0.0</v>
      </c>
      <c r="J8" s="8">
        <f>SUMIFS('Source Data'!$P$2:$P$268,'Source Data'!$F$2:$F$268,"Included",'Source Data'!$A$2:$A$268,"Google Ads",'Source Data'!$G$2:$G$268,"Fb")</f>
        <v>0.0</v>
      </c>
      <c r="K8" s="8">
        <f>SUMIFS('Source Data'!$R$2:$R$268,'Source Data'!$F$2:$F$268,"Included",'Source Data'!$A$2:$A$268,"Google Ads",'Source Data'!$G$2:$G$268,"Fb")</f>
        <v>0.0</v>
      </c>
      <c r="L8" s="8">
        <f>IFERROR(D8/C8,0)</f>
        <v>0.0</v>
      </c>
      <c r="M8" s="10">
        <f>IFERROR(F8/D8,0)</f>
        <v>0.0</v>
      </c>
    </row>
    <row r="9" spans="1:13" ht="20" customHeight="1">
      <c r="A9" t="s">
        <v>30</v>
      </c>
      <c r="B9" t="s">
        <v>35</v>
      </c>
      <c r="C9" s="9">
        <f>COUNTIFS('Source Data'!$F$2:$F$268,"Included",'Source Data'!$A$2:$A$268,"Google Ads",'Source Data'!$G$2:$G$268,"Website")</f>
        <v>67.0</v>
      </c>
      <c r="D9" s="8">
        <f>SUMIFS('Source Data'!$K$2:$K$268,'Source Data'!$F$2:$F$268,"Included",'Source Data'!$A$2:$A$268,"Google Ads",'Source Data'!$G$2:$G$268,"Website")</f>
        <v>1473109.48</v>
      </c>
      <c r="E9" s="9">
        <f>SUMIFS('Source Data'!$N$2:$N$268,'Source Data'!$F$2:$F$268,"Included",'Source Data'!$A$2:$A$268,"Google Ads",'Source Data'!$G$2:$G$268,"Website")</f>
        <v>26.0</v>
      </c>
      <c r="F9" s="8">
        <f>SUMIFS('Source Data'!$L$2:$L$268,'Source Data'!$F$2:$F$268,"Included",'Source Data'!$A$2:$A$268,"Google Ads",'Source Data'!$G$2:$G$268,"Website")</f>
        <v>510707.5</v>
      </c>
      <c r="G9" s="10">
        <f>IFERROR(E9/C9,0)</f>
        <v>0.3880597014925373</v>
      </c>
      <c r="H9" s="9">
        <f>SUMIFS('Source Data'!$O$2:$O$268,'Source Data'!$F$2:$F$268,"Included",'Source Data'!$A$2:$A$268,"Google Ads",'Source Data'!$G$2:$G$268,"Website")</f>
        <v>18.0</v>
      </c>
      <c r="I9" s="8">
        <f>SUMIFS('Source Data'!$Q$2:$Q$268,'Source Data'!$F$2:$F$268,"Included",'Source Data'!$A$2:$A$268,"Google Ads",'Source Data'!$G$2:$G$268,"Website")</f>
        <v>328191.94</v>
      </c>
      <c r="J9" s="8">
        <f>SUMIFS('Source Data'!$P$2:$P$268,'Source Data'!$F$2:$F$268,"Included",'Source Data'!$A$2:$A$268,"Google Ads",'Source Data'!$G$2:$G$268,"Website")</f>
        <v>623269.5</v>
      </c>
      <c r="K9" s="8">
        <f>SUMIFS('Source Data'!$R$2:$R$268,'Source Data'!$F$2:$F$268,"Included",'Source Data'!$A$2:$A$268,"Google Ads",'Source Data'!$G$2:$G$268,"Website")</f>
        <v>10940.54</v>
      </c>
      <c r="L9" s="8">
        <f>IFERROR(D9/C9,0)</f>
        <v>21986.70865671642</v>
      </c>
      <c r="M9" s="10">
        <f>IFERROR(F9/D9,0)</f>
        <v>0.34668672419377816</v>
      </c>
    </row>
    <row r="10" spans="1:13" ht="20" customHeight="1">
      <c r="A10" t="s">
        <v>334</v>
      </c>
      <c r="B10" t="s">
        <v>540</v>
      </c>
      <c r="C10" s="9">
        <f>COUNTIFS('Source Data'!$F$2:$F$268,"Included",'Source Data'!$A$2:$A$268,"Direct &amp; Organic",'Source Data'!$G$2:$G$268,"Chatbot")</f>
        <v>1.0</v>
      </c>
      <c r="D10" s="8">
        <f>SUMIFS('Source Data'!$K$2:$K$268,'Source Data'!$F$2:$F$268,"Included",'Source Data'!$A$2:$A$268,"Direct &amp; Organic",'Source Data'!$G$2:$G$268,"Chatbot")</f>
        <v>71428.57</v>
      </c>
      <c r="E10" s="9">
        <f>SUMIFS('Source Data'!$N$2:$N$268,'Source Data'!$F$2:$F$268,"Included",'Source Data'!$A$2:$A$268,"Direct &amp; Organic",'Source Data'!$G$2:$G$268,"Chatbot")</f>
        <v>0.0</v>
      </c>
      <c r="F10" s="8">
        <f>SUMIFS('Source Data'!$L$2:$L$268,'Source Data'!$F$2:$F$268,"Included",'Source Data'!$A$2:$A$268,"Direct &amp; Organic",'Source Data'!$G$2:$G$268,"Chatbot")</f>
        <v>0.0</v>
      </c>
      <c r="G10" s="10">
        <f>IFERROR(E10/C10,0)</f>
        <v>0.0</v>
      </c>
      <c r="H10" s="9">
        <f>SUMIFS('Source Data'!$O$2:$O$268,'Source Data'!$F$2:$F$268,"Included",'Source Data'!$A$2:$A$268,"Direct &amp; Organic",'Source Data'!$G$2:$G$268,"Chatbot")</f>
        <v>0.0</v>
      </c>
      <c r="I10" s="8">
        <f>SUMIFS('Source Data'!$Q$2:$Q$268,'Source Data'!$F$2:$F$268,"Included",'Source Data'!$A$2:$A$268,"Direct &amp; Organic",'Source Data'!$G$2:$G$268,"Chatbot")</f>
        <v>0.0</v>
      </c>
      <c r="J10" s="8">
        <f>SUMIFS('Source Data'!$P$2:$P$268,'Source Data'!$F$2:$F$268,"Included",'Source Data'!$A$2:$A$268,"Direct &amp; Organic",'Source Data'!$G$2:$G$268,"Chatbot")</f>
        <v>71428.57</v>
      </c>
      <c r="K10" s="8">
        <f>SUMIFS('Source Data'!$R$2:$R$268,'Source Data'!$F$2:$F$268,"Included",'Source Data'!$A$2:$A$268,"Direct &amp; Organic",'Source Data'!$G$2:$G$268,"Chatbot")</f>
        <v>0.0</v>
      </c>
      <c r="L10" s="8">
        <f>IFERROR(D10/C10,0)</f>
        <v>71428.57</v>
      </c>
      <c r="M10" s="10">
        <f>IFERROR(F10/D10,0)</f>
        <v>0.0</v>
      </c>
    </row>
    <row r="11" spans="1:13" ht="20" customHeight="1">
      <c r="A11" t="s">
        <v>334</v>
      </c>
      <c r="B11" t="s">
        <v>342</v>
      </c>
      <c r="C11" s="9">
        <f>COUNTIFS('Source Data'!$F$2:$F$268,"Included",'Source Data'!$A$2:$A$268,"Direct &amp; Organic",'Source Data'!$G$2:$G$268,"Fb")</f>
        <v>9.0</v>
      </c>
      <c r="D11" s="8">
        <f>SUMIFS('Source Data'!$K$2:$K$268,'Source Data'!$F$2:$F$268,"Included",'Source Data'!$A$2:$A$268,"Direct &amp; Organic",'Source Data'!$G$2:$G$268,"Fb")</f>
        <v>144461.16</v>
      </c>
      <c r="E11" s="9">
        <f>SUMIFS('Source Data'!$N$2:$N$268,'Source Data'!$F$2:$F$268,"Included",'Source Data'!$A$2:$A$268,"Direct &amp; Organic",'Source Data'!$G$2:$G$268,"Fb")</f>
        <v>8.0</v>
      </c>
      <c r="F11" s="8">
        <f>SUMIFS('Source Data'!$L$2:$L$268,'Source Data'!$F$2:$F$268,"Included",'Source Data'!$A$2:$A$268,"Direct &amp; Organic",'Source Data'!$G$2:$G$268,"Fb")</f>
        <v>128788.48</v>
      </c>
      <c r="G11" s="10">
        <f>IFERROR(E11/C11,0)</f>
        <v>0.8888888888888888</v>
      </c>
      <c r="H11" s="9">
        <f>SUMIFS('Source Data'!$O$2:$O$268,'Source Data'!$F$2:$F$268,"Included",'Source Data'!$A$2:$A$268,"Direct &amp; Organic",'Source Data'!$G$2:$G$268,"Fb")</f>
        <v>0.0</v>
      </c>
      <c r="I11" s="8">
        <f>SUMIFS('Source Data'!$Q$2:$Q$268,'Source Data'!$F$2:$F$268,"Included",'Source Data'!$A$2:$A$268,"Direct &amp; Organic",'Source Data'!$G$2:$G$268,"Fb")</f>
        <v>0.0</v>
      </c>
      <c r="J11" s="8">
        <f>SUMIFS('Source Data'!$P$2:$P$268,'Source Data'!$F$2:$F$268,"Included",'Source Data'!$A$2:$A$268,"Direct &amp; Organic",'Source Data'!$G$2:$G$268,"Fb")</f>
        <v>15672.68</v>
      </c>
      <c r="K11" s="8">
        <f>SUMIFS('Source Data'!$R$2:$R$268,'Source Data'!$F$2:$F$268,"Included",'Source Data'!$A$2:$A$268,"Direct &amp; Organic",'Source Data'!$G$2:$G$268,"Fb")</f>
        <v>0.0</v>
      </c>
      <c r="L11" s="8">
        <f>IFERROR(D11/C11,0)</f>
        <v>16051.24</v>
      </c>
      <c r="M11" s="10">
        <f>IFERROR(F11/D11,0)</f>
        <v>0.8915093856369422</v>
      </c>
    </row>
    <row r="12" spans="1:13" ht="20" customHeight="1">
      <c r="A12" t="s">
        <v>334</v>
      </c>
      <c r="B12" t="s">
        <v>35</v>
      </c>
      <c r="C12" s="9">
        <f>COUNTIFS('Source Data'!$F$2:$F$268,"Included",'Source Data'!$A$2:$A$268,"Direct &amp; Organic",'Source Data'!$G$2:$G$268,"Website")</f>
        <v>157.0</v>
      </c>
      <c r="D12" s="8">
        <f>SUMIFS('Source Data'!$K$2:$K$268,'Source Data'!$F$2:$F$268,"Included",'Source Data'!$A$2:$A$268,"Direct &amp; Organic",'Source Data'!$G$2:$G$268,"Website")</f>
        <v>2646232.93</v>
      </c>
      <c r="E12" s="9">
        <f>SUMIFS('Source Data'!$N$2:$N$268,'Source Data'!$F$2:$F$268,"Included",'Source Data'!$A$2:$A$268,"Direct &amp; Organic",'Source Data'!$G$2:$G$268,"Website")</f>
        <v>67.0</v>
      </c>
      <c r="F12" s="8">
        <f>SUMIFS('Source Data'!$L$2:$L$268,'Source Data'!$F$2:$F$268,"Included",'Source Data'!$A$2:$A$268,"Direct &amp; Organic",'Source Data'!$G$2:$G$268,"Website")</f>
        <v>1178740.37</v>
      </c>
      <c r="G12" s="10">
        <f>IFERROR(E12/C12,0)</f>
        <v>0.4267515923566879</v>
      </c>
      <c r="H12" s="9">
        <f>SUMIFS('Source Data'!$O$2:$O$268,'Source Data'!$F$2:$F$268,"Included",'Source Data'!$A$2:$A$268,"Direct &amp; Organic",'Source Data'!$G$2:$G$268,"Website")</f>
        <v>50.0</v>
      </c>
      <c r="I12" s="8">
        <f>SUMIFS('Source Data'!$Q$2:$Q$268,'Source Data'!$F$2:$F$268,"Included",'Source Data'!$A$2:$A$268,"Direct &amp; Organic",'Source Data'!$G$2:$G$268,"Website")</f>
        <v>833341.14</v>
      </c>
      <c r="J12" s="8">
        <f>SUMIFS('Source Data'!$P$2:$P$268,'Source Data'!$F$2:$F$268,"Included",'Source Data'!$A$2:$A$268,"Direct &amp; Organic",'Source Data'!$G$2:$G$268,"Website")</f>
        <v>573875.35</v>
      </c>
      <c r="K12" s="8">
        <f>SUMIFS('Source Data'!$R$2:$R$268,'Source Data'!$F$2:$F$268,"Included",'Source Data'!$A$2:$A$268,"Direct &amp; Organic",'Source Data'!$G$2:$G$268,"Website")</f>
        <v>60276.07</v>
      </c>
      <c r="L12" s="8">
        <f>IFERROR(D12/C12,0)</f>
        <v>16854.986815286626</v>
      </c>
      <c r="M12" s="10">
        <f>IFERROR(F12/D12,0)</f>
        <v>0.4454408969961688</v>
      </c>
    </row>
    <row r="13" spans="1:13" ht="20" customHeight="1">
      <c r="A13" t="s">
        <v>910</v>
      </c>
      <c r="B13" t="s">
        <v>540</v>
      </c>
      <c r="C13" s="9">
        <f>COUNTIFS('Source Data'!$F$2:$F$268,"Included",'Source Data'!$A$2:$A$268,"Referral",'Source Data'!$G$2:$G$268,"Chatbot")</f>
        <v>0.0</v>
      </c>
      <c r="D13" s="8">
        <f>SUMIFS('Source Data'!$K$2:$K$268,'Source Data'!$F$2:$F$268,"Included",'Source Data'!$A$2:$A$268,"Referral",'Source Data'!$G$2:$G$268,"Chatbot")</f>
        <v>0.0</v>
      </c>
      <c r="E13" s="9">
        <f>SUMIFS('Source Data'!$N$2:$N$268,'Source Data'!$F$2:$F$268,"Included",'Source Data'!$A$2:$A$268,"Referral",'Source Data'!$G$2:$G$268,"Chatbot")</f>
        <v>0.0</v>
      </c>
      <c r="F13" s="8">
        <f>SUMIFS('Source Data'!$L$2:$L$268,'Source Data'!$F$2:$F$268,"Included",'Source Data'!$A$2:$A$268,"Referral",'Source Data'!$G$2:$G$268,"Chatbot")</f>
        <v>0.0</v>
      </c>
      <c r="G13" s="10">
        <f>IFERROR(E13/C13,0)</f>
        <v>0.0</v>
      </c>
      <c r="H13" s="9">
        <f>SUMIFS('Source Data'!$O$2:$O$268,'Source Data'!$F$2:$F$268,"Included",'Source Data'!$A$2:$A$268,"Referral",'Source Data'!$G$2:$G$268,"Chatbot")</f>
        <v>0.0</v>
      </c>
      <c r="I13" s="8">
        <f>SUMIFS('Source Data'!$Q$2:$Q$268,'Source Data'!$F$2:$F$268,"Included",'Source Data'!$A$2:$A$268,"Referral",'Source Data'!$G$2:$G$268,"Chatbot")</f>
        <v>0.0</v>
      </c>
      <c r="J13" s="8">
        <f>SUMIFS('Source Data'!$P$2:$P$268,'Source Data'!$F$2:$F$268,"Included",'Source Data'!$A$2:$A$268,"Referral",'Source Data'!$G$2:$G$268,"Chatbot")</f>
        <v>0.0</v>
      </c>
      <c r="K13" s="8">
        <f>SUMIFS('Source Data'!$R$2:$R$268,'Source Data'!$F$2:$F$268,"Included",'Source Data'!$A$2:$A$268,"Referral",'Source Data'!$G$2:$G$268,"Chatbot")</f>
        <v>0.0</v>
      </c>
      <c r="L13" s="8">
        <f>IFERROR(D13/C13,0)</f>
        <v>0.0</v>
      </c>
      <c r="M13" s="10">
        <f>IFERROR(F13/D13,0)</f>
        <v>0.0</v>
      </c>
    </row>
    <row r="14" spans="1:13" ht="20" customHeight="1">
      <c r="A14" t="s">
        <v>910</v>
      </c>
      <c r="B14" t="s">
        <v>342</v>
      </c>
      <c r="C14" s="9">
        <f>COUNTIFS('Source Data'!$F$2:$F$268,"Included",'Source Data'!$A$2:$A$268,"Referral",'Source Data'!$G$2:$G$268,"Fb")</f>
        <v>0.0</v>
      </c>
      <c r="D14" s="8">
        <f>SUMIFS('Source Data'!$K$2:$K$268,'Source Data'!$F$2:$F$268,"Included",'Source Data'!$A$2:$A$268,"Referral",'Source Data'!$G$2:$G$268,"Fb")</f>
        <v>0.0</v>
      </c>
      <c r="E14" s="9">
        <f>SUMIFS('Source Data'!$N$2:$N$268,'Source Data'!$F$2:$F$268,"Included",'Source Data'!$A$2:$A$268,"Referral",'Source Data'!$G$2:$G$268,"Fb")</f>
        <v>0.0</v>
      </c>
      <c r="F14" s="8">
        <f>SUMIFS('Source Data'!$L$2:$L$268,'Source Data'!$F$2:$F$268,"Included",'Source Data'!$A$2:$A$268,"Referral",'Source Data'!$G$2:$G$268,"Fb")</f>
        <v>0.0</v>
      </c>
      <c r="G14" s="10">
        <f>IFERROR(E14/C14,0)</f>
        <v>0.0</v>
      </c>
      <c r="H14" s="9">
        <f>SUMIFS('Source Data'!$O$2:$O$268,'Source Data'!$F$2:$F$268,"Included",'Source Data'!$A$2:$A$268,"Referral",'Source Data'!$G$2:$G$268,"Fb")</f>
        <v>0.0</v>
      </c>
      <c r="I14" s="8">
        <f>SUMIFS('Source Data'!$Q$2:$Q$268,'Source Data'!$F$2:$F$268,"Included",'Source Data'!$A$2:$A$268,"Referral",'Source Data'!$G$2:$G$268,"Fb")</f>
        <v>0.0</v>
      </c>
      <c r="J14" s="8">
        <f>SUMIFS('Source Data'!$P$2:$P$268,'Source Data'!$F$2:$F$268,"Included",'Source Data'!$A$2:$A$268,"Referral",'Source Data'!$G$2:$G$268,"Fb")</f>
        <v>0.0</v>
      </c>
      <c r="K14" s="8">
        <f>SUMIFS('Source Data'!$R$2:$R$268,'Source Data'!$F$2:$F$268,"Included",'Source Data'!$A$2:$A$268,"Referral",'Source Data'!$G$2:$G$268,"Fb")</f>
        <v>0.0</v>
      </c>
      <c r="L14" s="8">
        <f>IFERROR(D14/C14,0)</f>
        <v>0.0</v>
      </c>
      <c r="M14" s="10">
        <f>IFERROR(F14/D14,0)</f>
        <v>0.0</v>
      </c>
    </row>
    <row r="15" spans="1:13" ht="20" customHeight="1">
      <c r="A15" t="s">
        <v>910</v>
      </c>
      <c r="B15" t="s">
        <v>35</v>
      </c>
      <c r="C15" s="9">
        <f>COUNTIFS('Source Data'!$F$2:$F$268,"Included",'Source Data'!$A$2:$A$268,"Referral",'Source Data'!$G$2:$G$268,"Website")</f>
        <v>28.0</v>
      </c>
      <c r="D15" s="8">
        <f>SUMIFS('Source Data'!$K$2:$K$268,'Source Data'!$F$2:$F$268,"Included",'Source Data'!$A$2:$A$268,"Referral",'Source Data'!$G$2:$G$268,"Website")</f>
        <v>464584.11</v>
      </c>
      <c r="E15" s="9">
        <f>SUMIFS('Source Data'!$N$2:$N$268,'Source Data'!$F$2:$F$268,"Included",'Source Data'!$A$2:$A$268,"Referral",'Source Data'!$G$2:$G$268,"Website")</f>
        <v>10.0</v>
      </c>
      <c r="F15" s="8">
        <f>SUMIFS('Source Data'!$L$2:$L$268,'Source Data'!$F$2:$F$268,"Included",'Source Data'!$A$2:$A$268,"Referral",'Source Data'!$G$2:$G$268,"Website")</f>
        <v>273228.94</v>
      </c>
      <c r="G15" s="10">
        <f>IFERROR(E15/C15,0)</f>
        <v>0.35714285714285715</v>
      </c>
      <c r="H15" s="9">
        <f>SUMIFS('Source Data'!$O$2:$O$268,'Source Data'!$F$2:$F$268,"Included",'Source Data'!$A$2:$A$268,"Referral",'Source Data'!$G$2:$G$268,"Website")</f>
        <v>11.0</v>
      </c>
      <c r="I15" s="8">
        <f>SUMIFS('Source Data'!$Q$2:$Q$268,'Source Data'!$F$2:$F$268,"Included",'Source Data'!$A$2:$A$268,"Referral",'Source Data'!$G$2:$G$268,"Website")</f>
        <v>132243.91</v>
      </c>
      <c r="J15" s="8">
        <f>SUMIFS('Source Data'!$P$2:$P$268,'Source Data'!$F$2:$F$268,"Included",'Source Data'!$A$2:$A$268,"Referral",'Source Data'!$G$2:$G$268,"Website")</f>
        <v>48170.72</v>
      </c>
      <c r="K15" s="8">
        <f>SUMIFS('Source Data'!$R$2:$R$268,'Source Data'!$F$2:$F$268,"Included",'Source Data'!$A$2:$A$268,"Referral",'Source Data'!$G$2:$G$268,"Website")</f>
        <v>10940.54</v>
      </c>
      <c r="L15" s="8">
        <f>IFERROR(D15/C15,0)</f>
        <v>16592.289642857144</v>
      </c>
      <c r="M15" s="10">
        <f>IFERROR(F15/D15,0)</f>
        <v>0.5881151208550804</v>
      </c>
    </row>
  </sheetData>
  <autoFilter ref="A6:M15"/>
  <mergeCells count="2">
    <mergeCell ref="A1:M2"/>
    <mergeCell ref="A3:M4"/>
  </mergeCells>
  <conditionalFormatting sqref="D7:D15">
    <cfRule type="dataBar" priority="2">
      <dataBar>
        <cfvo type="min" val="0"/>
        <cfvo type="max" val="0"/>
        <color rgb="FF008C95"/>
      </dataBar>
    </cfRule>
  </conditionalFormatting>
  <conditionalFormatting sqref="G7:G15">
    <cfRule type="colorScale" priority="1">
      <colorScale>
        <cfvo type="min" val="0"/>
        <cfvo type="percentile" val="50"/>
        <cfvo type="max" val="0"/>
        <color rgb="FFF8696B"/>
        <color rgb="FFFFEB84"/>
        <color rgb="FF63BE7B"/>
      </colorScale>
    </cfRule>
  </conditionalFormatting>
  <pageMargins left="0.7" right="0.7" top="0.75" bottom="0.75" header="0.3" footer="0.3"/>
  <pageSetup fitToHeight="0" orientation="landscape"/>
</worksheet>
</file>

<file path=xl/worksheets/sheet12.xml><?xml version="1.0" encoding="utf-8"?>
<worksheet xmlns="http://schemas.openxmlformats.org/spreadsheetml/2006/main" xmlns:r="http://schemas.openxmlformats.org/officeDocument/2006/relationships">
  <sheetPr>
    <tabColor rgb="FF008C95"/>
    <pageSetUpPr fitToPage="1"/>
  </sheetPr>
  <dimension ref="A1:M27"/>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20" customHeight="1"/>
  <cols>
    <col min="1" max="2" width="23.7109375" customWidth="1"/>
    <col min="3" max="13" width="21.7109375" customWidth="1"/>
  </cols>
  <sheetData>
    <row r="1" spans="1:13" ht="20" customHeight="1">
      <c r="A1" s="1" t="s">
        <v>1742</v>
      </c>
      <c r="B1" s="1"/>
      <c r="C1" s="1"/>
      <c r="D1" s="1"/>
      <c r="E1" s="1"/>
      <c r="F1" s="1"/>
      <c r="G1" s="1"/>
      <c r="H1" s="1"/>
      <c r="I1" s="1"/>
      <c r="J1" s="1"/>
      <c r="K1" s="1"/>
      <c r="L1" s="1"/>
      <c r="M1" s="1"/>
    </row>
    <row r="2" spans="1:13" ht="20" customHeight="1">
      <c r="A2" s="1"/>
      <c r="B2" s="1"/>
      <c r="C2" s="1"/>
      <c r="D2" s="1"/>
      <c r="E2" s="1"/>
      <c r="F2" s="1"/>
      <c r="G2" s="1"/>
      <c r="H2" s="1"/>
      <c r="I2" s="1"/>
      <c r="J2" s="1"/>
      <c r="K2" s="1"/>
      <c r="L2" s="1"/>
      <c r="M2" s="1"/>
    </row>
    <row r="3" spans="1:13" ht="23" customHeight="1">
      <c r="A3" s="2" t="s">
        <v>1732</v>
      </c>
      <c r="B3" s="2"/>
      <c r="C3" s="2"/>
      <c r="D3" s="2"/>
      <c r="E3" s="2"/>
      <c r="F3" s="2"/>
      <c r="G3" s="2"/>
      <c r="H3" s="2"/>
      <c r="I3" s="2"/>
      <c r="J3" s="2"/>
      <c r="K3" s="2"/>
      <c r="L3" s="2"/>
      <c r="M3" s="2"/>
    </row>
    <row r="4" spans="1:13" ht="20" customHeight="1">
      <c r="A4" s="2"/>
      <c r="B4" s="2"/>
      <c r="C4" s="2"/>
      <c r="D4" s="2"/>
      <c r="E4" s="2"/>
      <c r="F4" s="2"/>
      <c r="G4" s="2"/>
      <c r="H4" s="2"/>
      <c r="I4" s="2"/>
      <c r="J4" s="2"/>
      <c r="K4" s="2"/>
      <c r="L4" s="2"/>
      <c r="M4" s="2"/>
    </row>
    <row r="6" spans="1:13" ht="34" customHeight="1">
      <c r="A6" s="5" t="s">
        <v>10</v>
      </c>
      <c r="B6" s="5" t="s">
        <v>2</v>
      </c>
      <c r="C6" s="5" t="s">
        <v>1733</v>
      </c>
      <c r="D6" s="5" t="s">
        <v>12</v>
      </c>
      <c r="E6" s="5" t="s">
        <v>1734</v>
      </c>
      <c r="F6" s="5" t="s">
        <v>13</v>
      </c>
      <c r="G6" s="5" t="s">
        <v>1735</v>
      </c>
      <c r="H6" s="5" t="s">
        <v>1736</v>
      </c>
      <c r="I6" s="5" t="s">
        <v>18</v>
      </c>
      <c r="J6" s="5" t="s">
        <v>17</v>
      </c>
      <c r="K6" s="5" t="s">
        <v>19</v>
      </c>
      <c r="L6" s="5" t="s">
        <v>1737</v>
      </c>
      <c r="M6" s="5" t="s">
        <v>1738</v>
      </c>
    </row>
    <row r="7" spans="1:13" ht="20" customHeight="1">
      <c r="A7" t="s">
        <v>132</v>
      </c>
      <c r="B7" t="s">
        <v>30</v>
      </c>
      <c r="C7" s="9">
        <f>COUNTIFS('Source Data'!$F$2:$F$268,"Included",'Source Data'!$I$2:$I$268,"Cancelled",'Source Data'!$A$2:$A$268,"Google Ads")</f>
        <v>18.0</v>
      </c>
      <c r="D7" s="8">
        <f>SUMIFS('Source Data'!$K$2:$K$268,'Source Data'!$F$2:$F$268,"Included",'Source Data'!$I$2:$I$268,"Cancelled",'Source Data'!$A$2:$A$268,"Google Ads")</f>
        <v>328191.94</v>
      </c>
      <c r="E7" s="9">
        <f>SUMIFS('Source Data'!$N$2:$N$268,'Source Data'!$F$2:$F$268,"Included",'Source Data'!$I$2:$I$268,"Cancelled",'Source Data'!$A$2:$A$268,"Google Ads")</f>
        <v>0.0</v>
      </c>
      <c r="F7" s="8">
        <f>SUMIFS('Source Data'!$L$2:$L$268,'Source Data'!$F$2:$F$268,"Included",'Source Data'!$I$2:$I$268,"Cancelled",'Source Data'!$A$2:$A$268,"Google Ads")</f>
        <v>0.0</v>
      </c>
      <c r="G7" s="10">
        <f>IFERROR(E7/C7,0)</f>
        <v>0.0</v>
      </c>
      <c r="H7" s="9">
        <f>SUMIFS('Source Data'!$O$2:$O$268,'Source Data'!$F$2:$F$268,"Included",'Source Data'!$I$2:$I$268,"Cancelled",'Source Data'!$A$2:$A$268,"Google Ads")</f>
        <v>18.0</v>
      </c>
      <c r="I7" s="8">
        <f>SUMIFS('Source Data'!$Q$2:$Q$268,'Source Data'!$F$2:$F$268,"Included",'Source Data'!$I$2:$I$268,"Cancelled",'Source Data'!$A$2:$A$268,"Google Ads")</f>
        <v>328191.94</v>
      </c>
      <c r="J7" s="8">
        <f>SUMIFS('Source Data'!$P$2:$P$268,'Source Data'!$F$2:$F$268,"Included",'Source Data'!$I$2:$I$268,"Cancelled",'Source Data'!$A$2:$A$268,"Google Ads")</f>
        <v>0.0</v>
      </c>
      <c r="K7" s="8">
        <f>SUMIFS('Source Data'!$R$2:$R$268,'Source Data'!$F$2:$F$268,"Included",'Source Data'!$I$2:$I$268,"Cancelled",'Source Data'!$A$2:$A$268,"Google Ads")</f>
        <v>0.0</v>
      </c>
      <c r="L7" s="8">
        <f>IFERROR(D7/C7,0)</f>
        <v>18232.885555555556</v>
      </c>
      <c r="M7" s="10">
        <f>IFERROR(F7/D7,0)</f>
        <v>0.0</v>
      </c>
    </row>
    <row r="8" spans="1:13" ht="20" customHeight="1">
      <c r="A8" t="s">
        <v>132</v>
      </c>
      <c r="B8" t="s">
        <v>334</v>
      </c>
      <c r="C8" s="9">
        <f>COUNTIFS('Source Data'!$F$2:$F$268,"Included",'Source Data'!$I$2:$I$268,"Cancelled",'Source Data'!$A$2:$A$268,"Direct &amp; Organic")</f>
        <v>50.0</v>
      </c>
      <c r="D8" s="8">
        <f>SUMIFS('Source Data'!$K$2:$K$268,'Source Data'!$F$2:$F$268,"Included",'Source Data'!$I$2:$I$268,"Cancelled",'Source Data'!$A$2:$A$268,"Direct &amp; Organic")</f>
        <v>833341.14</v>
      </c>
      <c r="E8" s="9">
        <f>SUMIFS('Source Data'!$N$2:$N$268,'Source Data'!$F$2:$F$268,"Included",'Source Data'!$I$2:$I$268,"Cancelled",'Source Data'!$A$2:$A$268,"Direct &amp; Organic")</f>
        <v>0.0</v>
      </c>
      <c r="F8" s="8">
        <f>SUMIFS('Source Data'!$L$2:$L$268,'Source Data'!$F$2:$F$268,"Included",'Source Data'!$I$2:$I$268,"Cancelled",'Source Data'!$A$2:$A$268,"Direct &amp; Organic")</f>
        <v>0.0</v>
      </c>
      <c r="G8" s="10">
        <f>IFERROR(E8/C8,0)</f>
        <v>0.0</v>
      </c>
      <c r="H8" s="9">
        <f>SUMIFS('Source Data'!$O$2:$O$268,'Source Data'!$F$2:$F$268,"Included",'Source Data'!$I$2:$I$268,"Cancelled",'Source Data'!$A$2:$A$268,"Direct &amp; Organic")</f>
        <v>50.0</v>
      </c>
      <c r="I8" s="8">
        <f>SUMIFS('Source Data'!$Q$2:$Q$268,'Source Data'!$F$2:$F$268,"Included",'Source Data'!$I$2:$I$268,"Cancelled",'Source Data'!$A$2:$A$268,"Direct &amp; Organic")</f>
        <v>833341.14</v>
      </c>
      <c r="J8" s="8">
        <f>SUMIFS('Source Data'!$P$2:$P$268,'Source Data'!$F$2:$F$268,"Included",'Source Data'!$I$2:$I$268,"Cancelled",'Source Data'!$A$2:$A$268,"Direct &amp; Organic")</f>
        <v>0.0</v>
      </c>
      <c r="K8" s="8">
        <f>SUMIFS('Source Data'!$R$2:$R$268,'Source Data'!$F$2:$F$268,"Included",'Source Data'!$I$2:$I$268,"Cancelled",'Source Data'!$A$2:$A$268,"Direct &amp; Organic")</f>
        <v>0.0</v>
      </c>
      <c r="L8" s="8">
        <f>IFERROR(D8/C8,0)</f>
        <v>16666.8228</v>
      </c>
      <c r="M8" s="10">
        <f>IFERROR(F8/D8,0)</f>
        <v>0.0</v>
      </c>
    </row>
    <row r="9" spans="1:13" ht="20" customHeight="1">
      <c r="A9" t="s">
        <v>132</v>
      </c>
      <c r="B9" t="s">
        <v>910</v>
      </c>
      <c r="C9" s="9">
        <f>COUNTIFS('Source Data'!$F$2:$F$268,"Included",'Source Data'!$I$2:$I$268,"Cancelled",'Source Data'!$A$2:$A$268,"Referral")</f>
        <v>11.0</v>
      </c>
      <c r="D9" s="8">
        <f>SUMIFS('Source Data'!$K$2:$K$268,'Source Data'!$F$2:$F$268,"Included",'Source Data'!$I$2:$I$268,"Cancelled",'Source Data'!$A$2:$A$268,"Referral")</f>
        <v>132243.91</v>
      </c>
      <c r="E9" s="9">
        <f>SUMIFS('Source Data'!$N$2:$N$268,'Source Data'!$F$2:$F$268,"Included",'Source Data'!$I$2:$I$268,"Cancelled",'Source Data'!$A$2:$A$268,"Referral")</f>
        <v>0.0</v>
      </c>
      <c r="F9" s="8">
        <f>SUMIFS('Source Data'!$L$2:$L$268,'Source Data'!$F$2:$F$268,"Included",'Source Data'!$I$2:$I$268,"Cancelled",'Source Data'!$A$2:$A$268,"Referral")</f>
        <v>0.0</v>
      </c>
      <c r="G9" s="10">
        <f>IFERROR(E9/C9,0)</f>
        <v>0.0</v>
      </c>
      <c r="H9" s="9">
        <f>SUMIFS('Source Data'!$O$2:$O$268,'Source Data'!$F$2:$F$268,"Included",'Source Data'!$I$2:$I$268,"Cancelled",'Source Data'!$A$2:$A$268,"Referral")</f>
        <v>11.0</v>
      </c>
      <c r="I9" s="8">
        <f>SUMIFS('Source Data'!$Q$2:$Q$268,'Source Data'!$F$2:$F$268,"Included",'Source Data'!$I$2:$I$268,"Cancelled",'Source Data'!$A$2:$A$268,"Referral")</f>
        <v>132243.91</v>
      </c>
      <c r="J9" s="8">
        <f>SUMIFS('Source Data'!$P$2:$P$268,'Source Data'!$F$2:$F$268,"Included",'Source Data'!$I$2:$I$268,"Cancelled",'Source Data'!$A$2:$A$268,"Referral")</f>
        <v>0.0</v>
      </c>
      <c r="K9" s="8">
        <f>SUMIFS('Source Data'!$R$2:$R$268,'Source Data'!$F$2:$F$268,"Included",'Source Data'!$I$2:$I$268,"Cancelled",'Source Data'!$A$2:$A$268,"Referral")</f>
        <v>0.0</v>
      </c>
      <c r="L9" s="8">
        <f>IFERROR(D9/C9,0)</f>
        <v>12022.173636363636</v>
      </c>
      <c r="M9" s="10">
        <f>IFERROR(F9/D9,0)</f>
        <v>0.0</v>
      </c>
    </row>
    <row r="10" spans="1:13" ht="20" customHeight="1">
      <c r="A10" t="s">
        <v>432</v>
      </c>
      <c r="B10" t="s">
        <v>30</v>
      </c>
      <c r="C10" s="9">
        <f>COUNTIFS('Source Data'!$F$2:$F$268,"Included",'Source Data'!$I$2:$I$268,"For Refund",'Source Data'!$A$2:$A$268,"Google Ads")</f>
        <v>0.0</v>
      </c>
      <c r="D10" s="8">
        <f>SUMIFS('Source Data'!$K$2:$K$268,'Source Data'!$F$2:$F$268,"Included",'Source Data'!$I$2:$I$268,"For Refund",'Source Data'!$A$2:$A$268,"Google Ads")</f>
        <v>0.0</v>
      </c>
      <c r="E10" s="9">
        <f>SUMIFS('Source Data'!$N$2:$N$268,'Source Data'!$F$2:$F$268,"Included",'Source Data'!$I$2:$I$268,"For Refund",'Source Data'!$A$2:$A$268,"Google Ads")</f>
        <v>0.0</v>
      </c>
      <c r="F10" s="8">
        <f>SUMIFS('Source Data'!$L$2:$L$268,'Source Data'!$F$2:$F$268,"Included",'Source Data'!$I$2:$I$268,"For Refund",'Source Data'!$A$2:$A$268,"Google Ads")</f>
        <v>0.0</v>
      </c>
      <c r="G10" s="10">
        <f>IFERROR(E10/C10,0)</f>
        <v>0.0</v>
      </c>
      <c r="H10" s="9">
        <f>SUMIFS('Source Data'!$O$2:$O$268,'Source Data'!$F$2:$F$268,"Included",'Source Data'!$I$2:$I$268,"For Refund",'Source Data'!$A$2:$A$268,"Google Ads")</f>
        <v>0.0</v>
      </c>
      <c r="I10" s="8">
        <f>SUMIFS('Source Data'!$Q$2:$Q$268,'Source Data'!$F$2:$F$268,"Included",'Source Data'!$I$2:$I$268,"For Refund",'Source Data'!$A$2:$A$268,"Google Ads")</f>
        <v>0.0</v>
      </c>
      <c r="J10" s="8">
        <f>SUMIFS('Source Data'!$P$2:$P$268,'Source Data'!$F$2:$F$268,"Included",'Source Data'!$I$2:$I$268,"For Refund",'Source Data'!$A$2:$A$268,"Google Ads")</f>
        <v>0.0</v>
      </c>
      <c r="K10" s="8">
        <f>SUMIFS('Source Data'!$R$2:$R$268,'Source Data'!$F$2:$F$268,"Included",'Source Data'!$I$2:$I$268,"For Refund",'Source Data'!$A$2:$A$268,"Google Ads")</f>
        <v>0.0</v>
      </c>
      <c r="L10" s="8">
        <f>IFERROR(D10/C10,0)</f>
        <v>0.0</v>
      </c>
      <c r="M10" s="10">
        <f>IFERROR(F10/D10,0)</f>
        <v>0.0</v>
      </c>
    </row>
    <row r="11" spans="1:13" ht="20" customHeight="1">
      <c r="A11" t="s">
        <v>432</v>
      </c>
      <c r="B11" t="s">
        <v>334</v>
      </c>
      <c r="C11" s="9">
        <f>COUNTIFS('Source Data'!$F$2:$F$268,"Included",'Source Data'!$I$2:$I$268,"For Refund",'Source Data'!$A$2:$A$268,"Direct &amp; Organic")</f>
        <v>2.0</v>
      </c>
      <c r="D11" s="8">
        <f>SUMIFS('Source Data'!$K$2:$K$268,'Source Data'!$F$2:$F$268,"Included",'Source Data'!$I$2:$I$268,"For Refund",'Source Data'!$A$2:$A$268,"Direct &amp; Organic")</f>
        <v>28975.0</v>
      </c>
      <c r="E11" s="9">
        <f>SUMIFS('Source Data'!$N$2:$N$268,'Source Data'!$F$2:$F$268,"Included",'Source Data'!$I$2:$I$268,"For Refund",'Source Data'!$A$2:$A$268,"Direct &amp; Organic")</f>
        <v>0.0</v>
      </c>
      <c r="F11" s="8">
        <f>SUMIFS('Source Data'!$L$2:$L$268,'Source Data'!$F$2:$F$268,"Included",'Source Data'!$I$2:$I$268,"For Refund",'Source Data'!$A$2:$A$268,"Direct &amp; Organic")</f>
        <v>0.0</v>
      </c>
      <c r="G11" s="10">
        <f>IFERROR(E11/C11,0)</f>
        <v>0.0</v>
      </c>
      <c r="H11" s="9">
        <f>SUMIFS('Source Data'!$O$2:$O$268,'Source Data'!$F$2:$F$268,"Included",'Source Data'!$I$2:$I$268,"For Refund",'Source Data'!$A$2:$A$268,"Direct &amp; Organic")</f>
        <v>0.0</v>
      </c>
      <c r="I11" s="8">
        <f>SUMIFS('Source Data'!$Q$2:$Q$268,'Source Data'!$F$2:$F$268,"Included",'Source Data'!$I$2:$I$268,"For Refund",'Source Data'!$A$2:$A$268,"Direct &amp; Organic")</f>
        <v>0.0</v>
      </c>
      <c r="J11" s="8">
        <f>SUMIFS('Source Data'!$P$2:$P$268,'Source Data'!$F$2:$F$268,"Included",'Source Data'!$I$2:$I$268,"For Refund",'Source Data'!$A$2:$A$268,"Direct &amp; Organic")</f>
        <v>0.0</v>
      </c>
      <c r="K11" s="8">
        <f>SUMIFS('Source Data'!$R$2:$R$268,'Source Data'!$F$2:$F$268,"Included",'Source Data'!$I$2:$I$268,"For Refund",'Source Data'!$A$2:$A$268,"Direct &amp; Organic")</f>
        <v>28975.0</v>
      </c>
      <c r="L11" s="8">
        <f>IFERROR(D11/C11,0)</f>
        <v>14487.5</v>
      </c>
      <c r="M11" s="10">
        <f>IFERROR(F11/D11,0)</f>
        <v>0.0</v>
      </c>
    </row>
    <row r="12" spans="1:13" ht="20" customHeight="1">
      <c r="A12" t="s">
        <v>432</v>
      </c>
      <c r="B12" t="s">
        <v>910</v>
      </c>
      <c r="C12" s="9">
        <f>COUNTIFS('Source Data'!$F$2:$F$268,"Included",'Source Data'!$I$2:$I$268,"For Refund",'Source Data'!$A$2:$A$268,"Referral")</f>
        <v>0.0</v>
      </c>
      <c r="D12" s="8">
        <f>SUMIFS('Source Data'!$K$2:$K$268,'Source Data'!$F$2:$F$268,"Included",'Source Data'!$I$2:$I$268,"For Refund",'Source Data'!$A$2:$A$268,"Referral")</f>
        <v>0.0</v>
      </c>
      <c r="E12" s="9">
        <f>SUMIFS('Source Data'!$N$2:$N$268,'Source Data'!$F$2:$F$268,"Included",'Source Data'!$I$2:$I$268,"For Refund",'Source Data'!$A$2:$A$268,"Referral")</f>
        <v>0.0</v>
      </c>
      <c r="F12" s="8">
        <f>SUMIFS('Source Data'!$L$2:$L$268,'Source Data'!$F$2:$F$268,"Included",'Source Data'!$I$2:$I$268,"For Refund",'Source Data'!$A$2:$A$268,"Referral")</f>
        <v>0.0</v>
      </c>
      <c r="G12" s="10">
        <f>IFERROR(E12/C12,0)</f>
        <v>0.0</v>
      </c>
      <c r="H12" s="9">
        <f>SUMIFS('Source Data'!$O$2:$O$268,'Source Data'!$F$2:$F$268,"Included",'Source Data'!$I$2:$I$268,"For Refund",'Source Data'!$A$2:$A$268,"Referral")</f>
        <v>0.0</v>
      </c>
      <c r="I12" s="8">
        <f>SUMIFS('Source Data'!$Q$2:$Q$268,'Source Data'!$F$2:$F$268,"Included",'Source Data'!$I$2:$I$268,"For Refund",'Source Data'!$A$2:$A$268,"Referral")</f>
        <v>0.0</v>
      </c>
      <c r="J12" s="8">
        <f>SUMIFS('Source Data'!$P$2:$P$268,'Source Data'!$F$2:$F$268,"Included",'Source Data'!$I$2:$I$268,"For Refund",'Source Data'!$A$2:$A$268,"Referral")</f>
        <v>0.0</v>
      </c>
      <c r="K12" s="8">
        <f>SUMIFS('Source Data'!$R$2:$R$268,'Source Data'!$F$2:$F$268,"Included",'Source Data'!$I$2:$I$268,"For Refund",'Source Data'!$A$2:$A$268,"Referral")</f>
        <v>0.0</v>
      </c>
      <c r="L12" s="8">
        <f>IFERROR(D12/C12,0)</f>
        <v>0.0</v>
      </c>
      <c r="M12" s="10">
        <f>IFERROR(F12/D12,0)</f>
        <v>0.0</v>
      </c>
    </row>
    <row r="13" spans="1:13" ht="20" customHeight="1">
      <c r="A13" t="s">
        <v>142</v>
      </c>
      <c r="B13" t="s">
        <v>30</v>
      </c>
      <c r="C13" s="9">
        <f>COUNTIFS('Source Data'!$F$2:$F$268,"Included",'Source Data'!$I$2:$I$268,"For Return",'Source Data'!$A$2:$A$268,"Google Ads")</f>
        <v>1.0</v>
      </c>
      <c r="D13" s="8">
        <f>SUMIFS('Source Data'!$K$2:$K$268,'Source Data'!$F$2:$F$268,"Included",'Source Data'!$I$2:$I$268,"For Return",'Source Data'!$A$2:$A$268,"Google Ads")</f>
        <v>10940.54</v>
      </c>
      <c r="E13" s="9">
        <f>SUMIFS('Source Data'!$N$2:$N$268,'Source Data'!$F$2:$F$268,"Included",'Source Data'!$I$2:$I$268,"For Return",'Source Data'!$A$2:$A$268,"Google Ads")</f>
        <v>0.0</v>
      </c>
      <c r="F13" s="8">
        <f>SUMIFS('Source Data'!$L$2:$L$268,'Source Data'!$F$2:$F$268,"Included",'Source Data'!$I$2:$I$268,"For Return",'Source Data'!$A$2:$A$268,"Google Ads")</f>
        <v>0.0</v>
      </c>
      <c r="G13" s="10">
        <f>IFERROR(E13/C13,0)</f>
        <v>0.0</v>
      </c>
      <c r="H13" s="9">
        <f>SUMIFS('Source Data'!$O$2:$O$268,'Source Data'!$F$2:$F$268,"Included",'Source Data'!$I$2:$I$268,"For Return",'Source Data'!$A$2:$A$268,"Google Ads")</f>
        <v>0.0</v>
      </c>
      <c r="I13" s="8">
        <f>SUMIFS('Source Data'!$Q$2:$Q$268,'Source Data'!$F$2:$F$268,"Included",'Source Data'!$I$2:$I$268,"For Return",'Source Data'!$A$2:$A$268,"Google Ads")</f>
        <v>0.0</v>
      </c>
      <c r="J13" s="8">
        <f>SUMIFS('Source Data'!$P$2:$P$268,'Source Data'!$F$2:$F$268,"Included",'Source Data'!$I$2:$I$268,"For Return",'Source Data'!$A$2:$A$268,"Google Ads")</f>
        <v>0.0</v>
      </c>
      <c r="K13" s="8">
        <f>SUMIFS('Source Data'!$R$2:$R$268,'Source Data'!$F$2:$F$268,"Included",'Source Data'!$I$2:$I$268,"For Return",'Source Data'!$A$2:$A$268,"Google Ads")</f>
        <v>10940.54</v>
      </c>
      <c r="L13" s="8">
        <f>IFERROR(D13/C13,0)</f>
        <v>10940.54</v>
      </c>
      <c r="M13" s="10">
        <f>IFERROR(F13/D13,0)</f>
        <v>0.0</v>
      </c>
    </row>
    <row r="14" spans="1:13" ht="20" customHeight="1">
      <c r="A14" t="s">
        <v>142</v>
      </c>
      <c r="B14" t="s">
        <v>334</v>
      </c>
      <c r="C14" s="9">
        <f>COUNTIFS('Source Data'!$F$2:$F$268,"Included",'Source Data'!$I$2:$I$268,"For Return",'Source Data'!$A$2:$A$268,"Direct &amp; Organic")</f>
        <v>1.0</v>
      </c>
      <c r="D14" s="8">
        <f>SUMIFS('Source Data'!$K$2:$K$268,'Source Data'!$F$2:$F$268,"Included",'Source Data'!$I$2:$I$268,"For Return",'Source Data'!$A$2:$A$268,"Direct &amp; Organic")</f>
        <v>31301.07</v>
      </c>
      <c r="E14" s="9">
        <f>SUMIFS('Source Data'!$N$2:$N$268,'Source Data'!$F$2:$F$268,"Included",'Source Data'!$I$2:$I$268,"For Return",'Source Data'!$A$2:$A$268,"Direct &amp; Organic")</f>
        <v>0.0</v>
      </c>
      <c r="F14" s="8">
        <f>SUMIFS('Source Data'!$L$2:$L$268,'Source Data'!$F$2:$F$268,"Included",'Source Data'!$I$2:$I$268,"For Return",'Source Data'!$A$2:$A$268,"Direct &amp; Organic")</f>
        <v>0.0</v>
      </c>
      <c r="G14" s="10">
        <f>IFERROR(E14/C14,0)</f>
        <v>0.0</v>
      </c>
      <c r="H14" s="9">
        <f>SUMIFS('Source Data'!$O$2:$O$268,'Source Data'!$F$2:$F$268,"Included",'Source Data'!$I$2:$I$268,"For Return",'Source Data'!$A$2:$A$268,"Direct &amp; Organic")</f>
        <v>0.0</v>
      </c>
      <c r="I14" s="8">
        <f>SUMIFS('Source Data'!$Q$2:$Q$268,'Source Data'!$F$2:$F$268,"Included",'Source Data'!$I$2:$I$268,"For Return",'Source Data'!$A$2:$A$268,"Direct &amp; Organic")</f>
        <v>0.0</v>
      </c>
      <c r="J14" s="8">
        <f>SUMIFS('Source Data'!$P$2:$P$268,'Source Data'!$F$2:$F$268,"Included",'Source Data'!$I$2:$I$268,"For Return",'Source Data'!$A$2:$A$268,"Direct &amp; Organic")</f>
        <v>0.0</v>
      </c>
      <c r="K14" s="8">
        <f>SUMIFS('Source Data'!$R$2:$R$268,'Source Data'!$F$2:$F$268,"Included",'Source Data'!$I$2:$I$268,"For Return",'Source Data'!$A$2:$A$268,"Direct &amp; Organic")</f>
        <v>31301.07</v>
      </c>
      <c r="L14" s="8">
        <f>IFERROR(D14/C14,0)</f>
        <v>31301.07</v>
      </c>
      <c r="M14" s="10">
        <f>IFERROR(F14/D14,0)</f>
        <v>0.0</v>
      </c>
    </row>
    <row r="15" spans="1:13" ht="20" customHeight="1">
      <c r="A15" t="s">
        <v>142</v>
      </c>
      <c r="B15" t="s">
        <v>910</v>
      </c>
      <c r="C15" s="9">
        <f>COUNTIFS('Source Data'!$F$2:$F$268,"Included",'Source Data'!$I$2:$I$268,"For Return",'Source Data'!$A$2:$A$268,"Referral")</f>
        <v>1.0</v>
      </c>
      <c r="D15" s="8">
        <f>SUMIFS('Source Data'!$K$2:$K$268,'Source Data'!$F$2:$F$268,"Included",'Source Data'!$I$2:$I$268,"For Return",'Source Data'!$A$2:$A$268,"Referral")</f>
        <v>10940.54</v>
      </c>
      <c r="E15" s="9">
        <f>SUMIFS('Source Data'!$N$2:$N$268,'Source Data'!$F$2:$F$268,"Included",'Source Data'!$I$2:$I$268,"For Return",'Source Data'!$A$2:$A$268,"Referral")</f>
        <v>0.0</v>
      </c>
      <c r="F15" s="8">
        <f>SUMIFS('Source Data'!$L$2:$L$268,'Source Data'!$F$2:$F$268,"Included",'Source Data'!$I$2:$I$268,"For Return",'Source Data'!$A$2:$A$268,"Referral")</f>
        <v>0.0</v>
      </c>
      <c r="G15" s="10">
        <f>IFERROR(E15/C15,0)</f>
        <v>0.0</v>
      </c>
      <c r="H15" s="9">
        <f>SUMIFS('Source Data'!$O$2:$O$268,'Source Data'!$F$2:$F$268,"Included",'Source Data'!$I$2:$I$268,"For Return",'Source Data'!$A$2:$A$268,"Referral")</f>
        <v>0.0</v>
      </c>
      <c r="I15" s="8">
        <f>SUMIFS('Source Data'!$Q$2:$Q$268,'Source Data'!$F$2:$F$268,"Included",'Source Data'!$I$2:$I$268,"For Return",'Source Data'!$A$2:$A$268,"Referral")</f>
        <v>0.0</v>
      </c>
      <c r="J15" s="8">
        <f>SUMIFS('Source Data'!$P$2:$P$268,'Source Data'!$F$2:$F$268,"Included",'Source Data'!$I$2:$I$268,"For Return",'Source Data'!$A$2:$A$268,"Referral")</f>
        <v>0.0</v>
      </c>
      <c r="K15" s="8">
        <f>SUMIFS('Source Data'!$R$2:$R$268,'Source Data'!$F$2:$F$268,"Included",'Source Data'!$I$2:$I$268,"For Return",'Source Data'!$A$2:$A$268,"Referral")</f>
        <v>10940.54</v>
      </c>
      <c r="L15" s="8">
        <f>IFERROR(D15/C15,0)</f>
        <v>10940.54</v>
      </c>
      <c r="M15" s="10">
        <f>IFERROR(F15/D15,0)</f>
        <v>0.0</v>
      </c>
    </row>
    <row r="16" spans="1:13" ht="20" customHeight="1">
      <c r="A16" t="s">
        <v>48</v>
      </c>
      <c r="B16" t="s">
        <v>30</v>
      </c>
      <c r="C16" s="9">
        <f>COUNTIFS('Source Data'!$F$2:$F$268,"Included",'Source Data'!$I$2:$I$268,"Fulfilled",'Source Data'!$A$2:$A$268,"Google Ads")</f>
        <v>26.0</v>
      </c>
      <c r="D16" s="8">
        <f>SUMIFS('Source Data'!$K$2:$K$268,'Source Data'!$F$2:$F$268,"Included",'Source Data'!$I$2:$I$268,"Fulfilled",'Source Data'!$A$2:$A$268,"Google Ads")</f>
        <v>510707.5</v>
      </c>
      <c r="E16" s="9">
        <f>SUMIFS('Source Data'!$N$2:$N$268,'Source Data'!$F$2:$F$268,"Included",'Source Data'!$I$2:$I$268,"Fulfilled",'Source Data'!$A$2:$A$268,"Google Ads")</f>
        <v>26.0</v>
      </c>
      <c r="F16" s="8">
        <f>SUMIFS('Source Data'!$L$2:$L$268,'Source Data'!$F$2:$F$268,"Included",'Source Data'!$I$2:$I$268,"Fulfilled",'Source Data'!$A$2:$A$268,"Google Ads")</f>
        <v>510707.5</v>
      </c>
      <c r="G16" s="10">
        <f>IFERROR(E16/C16,0)</f>
        <v>1.0</v>
      </c>
      <c r="H16" s="9">
        <f>SUMIFS('Source Data'!$O$2:$O$268,'Source Data'!$F$2:$F$268,"Included",'Source Data'!$I$2:$I$268,"Fulfilled",'Source Data'!$A$2:$A$268,"Google Ads")</f>
        <v>0.0</v>
      </c>
      <c r="I16" s="8">
        <f>SUMIFS('Source Data'!$Q$2:$Q$268,'Source Data'!$F$2:$F$268,"Included",'Source Data'!$I$2:$I$268,"Fulfilled",'Source Data'!$A$2:$A$268,"Google Ads")</f>
        <v>0.0</v>
      </c>
      <c r="J16" s="8">
        <f>SUMIFS('Source Data'!$P$2:$P$268,'Source Data'!$F$2:$F$268,"Included",'Source Data'!$I$2:$I$268,"Fulfilled",'Source Data'!$A$2:$A$268,"Google Ads")</f>
        <v>0.0</v>
      </c>
      <c r="K16" s="8">
        <f>SUMIFS('Source Data'!$R$2:$R$268,'Source Data'!$F$2:$F$268,"Included",'Source Data'!$I$2:$I$268,"Fulfilled",'Source Data'!$A$2:$A$268,"Google Ads")</f>
        <v>0.0</v>
      </c>
      <c r="L16" s="8">
        <f>IFERROR(D16/C16,0)</f>
        <v>19642.596153846152</v>
      </c>
      <c r="M16" s="10">
        <f>IFERROR(F16/D16,0)</f>
        <v>1.0</v>
      </c>
    </row>
    <row r="17" spans="1:13" ht="20" customHeight="1">
      <c r="A17" t="s">
        <v>48</v>
      </c>
      <c r="B17" t="s">
        <v>334</v>
      </c>
      <c r="C17" s="9">
        <f>COUNTIFS('Source Data'!$F$2:$F$268,"Included",'Source Data'!$I$2:$I$268,"Fulfilled",'Source Data'!$A$2:$A$268,"Direct &amp; Organic")</f>
        <v>75.0</v>
      </c>
      <c r="D17" s="8">
        <f>SUMIFS('Source Data'!$K$2:$K$268,'Source Data'!$F$2:$F$268,"Included",'Source Data'!$I$2:$I$268,"Fulfilled",'Source Data'!$A$2:$A$268,"Direct &amp; Organic")</f>
        <v>1307528.85</v>
      </c>
      <c r="E17" s="9">
        <f>SUMIFS('Source Data'!$N$2:$N$268,'Source Data'!$F$2:$F$268,"Included",'Source Data'!$I$2:$I$268,"Fulfilled",'Source Data'!$A$2:$A$268,"Direct &amp; Organic")</f>
        <v>75.0</v>
      </c>
      <c r="F17" s="8">
        <f>SUMIFS('Source Data'!$L$2:$L$268,'Source Data'!$F$2:$F$268,"Included",'Source Data'!$I$2:$I$268,"Fulfilled",'Source Data'!$A$2:$A$268,"Direct &amp; Organic")</f>
        <v>1307528.85</v>
      </c>
      <c r="G17" s="10">
        <f>IFERROR(E17/C17,0)</f>
        <v>1.0</v>
      </c>
      <c r="H17" s="9">
        <f>SUMIFS('Source Data'!$O$2:$O$268,'Source Data'!$F$2:$F$268,"Included",'Source Data'!$I$2:$I$268,"Fulfilled",'Source Data'!$A$2:$A$268,"Direct &amp; Organic")</f>
        <v>0.0</v>
      </c>
      <c r="I17" s="8">
        <f>SUMIFS('Source Data'!$Q$2:$Q$268,'Source Data'!$F$2:$F$268,"Included",'Source Data'!$I$2:$I$268,"Fulfilled",'Source Data'!$A$2:$A$268,"Direct &amp; Organic")</f>
        <v>0.0</v>
      </c>
      <c r="J17" s="8">
        <f>SUMIFS('Source Data'!$P$2:$P$268,'Source Data'!$F$2:$F$268,"Included",'Source Data'!$I$2:$I$268,"Fulfilled",'Source Data'!$A$2:$A$268,"Direct &amp; Organic")</f>
        <v>0.0</v>
      </c>
      <c r="K17" s="8">
        <f>SUMIFS('Source Data'!$R$2:$R$268,'Source Data'!$F$2:$F$268,"Included",'Source Data'!$I$2:$I$268,"Fulfilled",'Source Data'!$A$2:$A$268,"Direct &amp; Organic")</f>
        <v>0.0</v>
      </c>
      <c r="L17" s="8">
        <f>IFERROR(D17/C17,0)</f>
        <v>17433.718</v>
      </c>
      <c r="M17" s="10">
        <f>IFERROR(F17/D17,0)</f>
        <v>1.0</v>
      </c>
    </row>
    <row r="18" spans="1:13" ht="20" customHeight="1">
      <c r="A18" t="s">
        <v>48</v>
      </c>
      <c r="B18" t="s">
        <v>910</v>
      </c>
      <c r="C18" s="9">
        <f>COUNTIFS('Source Data'!$F$2:$F$268,"Included",'Source Data'!$I$2:$I$268,"Fulfilled",'Source Data'!$A$2:$A$268,"Referral")</f>
        <v>10.0</v>
      </c>
      <c r="D18" s="8">
        <f>SUMIFS('Source Data'!$K$2:$K$268,'Source Data'!$F$2:$F$268,"Included",'Source Data'!$I$2:$I$268,"Fulfilled",'Source Data'!$A$2:$A$268,"Referral")</f>
        <v>273228.94</v>
      </c>
      <c r="E18" s="9">
        <f>SUMIFS('Source Data'!$N$2:$N$268,'Source Data'!$F$2:$F$268,"Included",'Source Data'!$I$2:$I$268,"Fulfilled",'Source Data'!$A$2:$A$268,"Referral")</f>
        <v>10.0</v>
      </c>
      <c r="F18" s="8">
        <f>SUMIFS('Source Data'!$L$2:$L$268,'Source Data'!$F$2:$F$268,"Included",'Source Data'!$I$2:$I$268,"Fulfilled",'Source Data'!$A$2:$A$268,"Referral")</f>
        <v>273228.94</v>
      </c>
      <c r="G18" s="10">
        <f>IFERROR(E18/C18,0)</f>
        <v>1.0</v>
      </c>
      <c r="H18" s="9">
        <f>SUMIFS('Source Data'!$O$2:$O$268,'Source Data'!$F$2:$F$268,"Included",'Source Data'!$I$2:$I$268,"Fulfilled",'Source Data'!$A$2:$A$268,"Referral")</f>
        <v>0.0</v>
      </c>
      <c r="I18" s="8">
        <f>SUMIFS('Source Data'!$Q$2:$Q$268,'Source Data'!$F$2:$F$268,"Included",'Source Data'!$I$2:$I$268,"Fulfilled",'Source Data'!$A$2:$A$268,"Referral")</f>
        <v>0.0</v>
      </c>
      <c r="J18" s="8">
        <f>SUMIFS('Source Data'!$P$2:$P$268,'Source Data'!$F$2:$F$268,"Included",'Source Data'!$I$2:$I$268,"Fulfilled",'Source Data'!$A$2:$A$268,"Referral")</f>
        <v>0.0</v>
      </c>
      <c r="K18" s="8">
        <f>SUMIFS('Source Data'!$R$2:$R$268,'Source Data'!$F$2:$F$268,"Included",'Source Data'!$I$2:$I$268,"Fulfilled",'Source Data'!$A$2:$A$268,"Referral")</f>
        <v>0.0</v>
      </c>
      <c r="L18" s="8">
        <f>IFERROR(D18/C18,0)</f>
        <v>27322.894</v>
      </c>
      <c r="M18" s="10">
        <f>IFERROR(F18/D18,0)</f>
        <v>1.0</v>
      </c>
    </row>
    <row r="19" spans="1:13" ht="20" customHeight="1">
      <c r="A19" t="s">
        <v>36</v>
      </c>
      <c r="B19" t="s">
        <v>30</v>
      </c>
      <c r="C19" s="9">
        <f>COUNTIFS('Source Data'!$F$2:$F$268,"Included",'Source Data'!$I$2:$I$268,"New",'Source Data'!$A$2:$A$268,"Google Ads")</f>
        <v>13.0</v>
      </c>
      <c r="D19" s="8">
        <f>SUMIFS('Source Data'!$K$2:$K$268,'Source Data'!$F$2:$F$268,"Included",'Source Data'!$I$2:$I$268,"New",'Source Data'!$A$2:$A$268,"Google Ads")</f>
        <v>429307.34</v>
      </c>
      <c r="E19" s="9">
        <f>SUMIFS('Source Data'!$N$2:$N$268,'Source Data'!$F$2:$F$268,"Included",'Source Data'!$I$2:$I$268,"New",'Source Data'!$A$2:$A$268,"Google Ads")</f>
        <v>0.0</v>
      </c>
      <c r="F19" s="8">
        <f>SUMIFS('Source Data'!$L$2:$L$268,'Source Data'!$F$2:$F$268,"Included",'Source Data'!$I$2:$I$268,"New",'Source Data'!$A$2:$A$268,"Google Ads")</f>
        <v>0.0</v>
      </c>
      <c r="G19" s="10">
        <f>IFERROR(E19/C19,0)</f>
        <v>0.0</v>
      </c>
      <c r="H19" s="9">
        <f>SUMIFS('Source Data'!$O$2:$O$268,'Source Data'!$F$2:$F$268,"Included",'Source Data'!$I$2:$I$268,"New",'Source Data'!$A$2:$A$268,"Google Ads")</f>
        <v>0.0</v>
      </c>
      <c r="I19" s="8">
        <f>SUMIFS('Source Data'!$Q$2:$Q$268,'Source Data'!$F$2:$F$268,"Included",'Source Data'!$I$2:$I$268,"New",'Source Data'!$A$2:$A$268,"Google Ads")</f>
        <v>0.0</v>
      </c>
      <c r="J19" s="8">
        <f>SUMIFS('Source Data'!$P$2:$P$268,'Source Data'!$F$2:$F$268,"Included",'Source Data'!$I$2:$I$268,"New",'Source Data'!$A$2:$A$268,"Google Ads")</f>
        <v>429307.34</v>
      </c>
      <c r="K19" s="8">
        <f>SUMIFS('Source Data'!$R$2:$R$268,'Source Data'!$F$2:$F$268,"Included",'Source Data'!$I$2:$I$268,"New",'Source Data'!$A$2:$A$268,"Google Ads")</f>
        <v>0.0</v>
      </c>
      <c r="L19" s="8">
        <f>IFERROR(D19/C19,0)</f>
        <v>33023.64153846154</v>
      </c>
      <c r="M19" s="10">
        <f>IFERROR(F19/D19,0)</f>
        <v>0.0</v>
      </c>
    </row>
    <row r="20" spans="1:13" ht="20" customHeight="1">
      <c r="A20" t="s">
        <v>36</v>
      </c>
      <c r="B20" t="s">
        <v>334</v>
      </c>
      <c r="C20" s="9">
        <f>COUNTIFS('Source Data'!$F$2:$F$268,"Included",'Source Data'!$I$2:$I$268,"New",'Source Data'!$A$2:$A$268,"Direct &amp; Organic")</f>
        <v>17.0</v>
      </c>
      <c r="D20" s="8">
        <f>SUMIFS('Source Data'!$K$2:$K$268,'Source Data'!$F$2:$F$268,"Included",'Source Data'!$I$2:$I$268,"New",'Source Data'!$A$2:$A$268,"Direct &amp; Organic")</f>
        <v>270588.46</v>
      </c>
      <c r="E20" s="9">
        <f>SUMIFS('Source Data'!$N$2:$N$268,'Source Data'!$F$2:$F$268,"Included",'Source Data'!$I$2:$I$268,"New",'Source Data'!$A$2:$A$268,"Direct &amp; Organic")</f>
        <v>0.0</v>
      </c>
      <c r="F20" s="8">
        <f>SUMIFS('Source Data'!$L$2:$L$268,'Source Data'!$F$2:$F$268,"Included",'Source Data'!$I$2:$I$268,"New",'Source Data'!$A$2:$A$268,"Direct &amp; Organic")</f>
        <v>0.0</v>
      </c>
      <c r="G20" s="10">
        <f>IFERROR(E20/C20,0)</f>
        <v>0.0</v>
      </c>
      <c r="H20" s="9">
        <f>SUMIFS('Source Data'!$O$2:$O$268,'Source Data'!$F$2:$F$268,"Included",'Source Data'!$I$2:$I$268,"New",'Source Data'!$A$2:$A$268,"Direct &amp; Organic")</f>
        <v>0.0</v>
      </c>
      <c r="I20" s="8">
        <f>SUMIFS('Source Data'!$Q$2:$Q$268,'Source Data'!$F$2:$F$268,"Included",'Source Data'!$I$2:$I$268,"New",'Source Data'!$A$2:$A$268,"Direct &amp; Organic")</f>
        <v>0.0</v>
      </c>
      <c r="J20" s="8">
        <f>SUMIFS('Source Data'!$P$2:$P$268,'Source Data'!$F$2:$F$268,"Included",'Source Data'!$I$2:$I$268,"New",'Source Data'!$A$2:$A$268,"Direct &amp; Organic")</f>
        <v>270588.46</v>
      </c>
      <c r="K20" s="8">
        <f>SUMIFS('Source Data'!$R$2:$R$268,'Source Data'!$F$2:$F$268,"Included",'Source Data'!$I$2:$I$268,"New",'Source Data'!$A$2:$A$268,"Direct &amp; Organic")</f>
        <v>0.0</v>
      </c>
      <c r="L20" s="8">
        <f>IFERROR(D20/C20,0)</f>
        <v>15916.968235294118</v>
      </c>
      <c r="M20" s="10">
        <f>IFERROR(F20/D20,0)</f>
        <v>0.0</v>
      </c>
    </row>
    <row r="21" spans="1:13" ht="20" customHeight="1">
      <c r="A21" t="s">
        <v>36</v>
      </c>
      <c r="B21" t="s">
        <v>910</v>
      </c>
      <c r="C21" s="9">
        <f>COUNTIFS('Source Data'!$F$2:$F$268,"Included",'Source Data'!$I$2:$I$268,"New",'Source Data'!$A$2:$A$268,"Referral")</f>
        <v>5.0</v>
      </c>
      <c r="D21" s="8">
        <f>SUMIFS('Source Data'!$K$2:$K$268,'Source Data'!$F$2:$F$268,"Included",'Source Data'!$I$2:$I$268,"New",'Source Data'!$A$2:$A$268,"Referral")</f>
        <v>34435.54</v>
      </c>
      <c r="E21" s="9">
        <f>SUMIFS('Source Data'!$N$2:$N$268,'Source Data'!$F$2:$F$268,"Included",'Source Data'!$I$2:$I$268,"New",'Source Data'!$A$2:$A$268,"Referral")</f>
        <v>0.0</v>
      </c>
      <c r="F21" s="8">
        <f>SUMIFS('Source Data'!$L$2:$L$268,'Source Data'!$F$2:$F$268,"Included",'Source Data'!$I$2:$I$268,"New",'Source Data'!$A$2:$A$268,"Referral")</f>
        <v>0.0</v>
      </c>
      <c r="G21" s="10">
        <f>IFERROR(E21/C21,0)</f>
        <v>0.0</v>
      </c>
      <c r="H21" s="9">
        <f>SUMIFS('Source Data'!$O$2:$O$268,'Source Data'!$F$2:$F$268,"Included",'Source Data'!$I$2:$I$268,"New",'Source Data'!$A$2:$A$268,"Referral")</f>
        <v>0.0</v>
      </c>
      <c r="I21" s="8">
        <f>SUMIFS('Source Data'!$Q$2:$Q$268,'Source Data'!$F$2:$F$268,"Included",'Source Data'!$I$2:$I$268,"New",'Source Data'!$A$2:$A$268,"Referral")</f>
        <v>0.0</v>
      </c>
      <c r="J21" s="8">
        <f>SUMIFS('Source Data'!$P$2:$P$268,'Source Data'!$F$2:$F$268,"Included",'Source Data'!$I$2:$I$268,"New",'Source Data'!$A$2:$A$268,"Referral")</f>
        <v>34435.54</v>
      </c>
      <c r="K21" s="8">
        <f>SUMIFS('Source Data'!$R$2:$R$268,'Source Data'!$F$2:$F$268,"Included",'Source Data'!$I$2:$I$268,"New",'Source Data'!$A$2:$A$268,"Referral")</f>
        <v>0.0</v>
      </c>
      <c r="L21" s="8">
        <f>IFERROR(D21/C21,0)</f>
        <v>6887.108</v>
      </c>
      <c r="M21" s="10">
        <f>IFERROR(F21/D21,0)</f>
        <v>0.0</v>
      </c>
    </row>
    <row r="22" spans="1:13" ht="20" customHeight="1">
      <c r="A22" t="s">
        <v>68</v>
      </c>
      <c r="B22" t="s">
        <v>30</v>
      </c>
      <c r="C22" s="9">
        <f>COUNTIFS('Source Data'!$F$2:$F$268,"Included",'Source Data'!$I$2:$I$268,"Pending",'Source Data'!$A$2:$A$268,"Google Ads")</f>
        <v>5.0</v>
      </c>
      <c r="D22" s="8">
        <f>SUMIFS('Source Data'!$K$2:$K$268,'Source Data'!$F$2:$F$268,"Included",'Source Data'!$I$2:$I$268,"Pending",'Source Data'!$A$2:$A$268,"Google Ads")</f>
        <v>80720.91</v>
      </c>
      <c r="E22" s="9">
        <f>SUMIFS('Source Data'!$N$2:$N$268,'Source Data'!$F$2:$F$268,"Included",'Source Data'!$I$2:$I$268,"Pending",'Source Data'!$A$2:$A$268,"Google Ads")</f>
        <v>0.0</v>
      </c>
      <c r="F22" s="8">
        <f>SUMIFS('Source Data'!$L$2:$L$268,'Source Data'!$F$2:$F$268,"Included",'Source Data'!$I$2:$I$268,"Pending",'Source Data'!$A$2:$A$268,"Google Ads")</f>
        <v>0.0</v>
      </c>
      <c r="G22" s="10">
        <f>IFERROR(E22/C22,0)</f>
        <v>0.0</v>
      </c>
      <c r="H22" s="9">
        <f>SUMIFS('Source Data'!$O$2:$O$268,'Source Data'!$F$2:$F$268,"Included",'Source Data'!$I$2:$I$268,"Pending",'Source Data'!$A$2:$A$268,"Google Ads")</f>
        <v>0.0</v>
      </c>
      <c r="I22" s="8">
        <f>SUMIFS('Source Data'!$Q$2:$Q$268,'Source Data'!$F$2:$F$268,"Included",'Source Data'!$I$2:$I$268,"Pending",'Source Data'!$A$2:$A$268,"Google Ads")</f>
        <v>0.0</v>
      </c>
      <c r="J22" s="8">
        <f>SUMIFS('Source Data'!$P$2:$P$268,'Source Data'!$F$2:$F$268,"Included",'Source Data'!$I$2:$I$268,"Pending",'Source Data'!$A$2:$A$268,"Google Ads")</f>
        <v>80720.91</v>
      </c>
      <c r="K22" s="8">
        <f>SUMIFS('Source Data'!$R$2:$R$268,'Source Data'!$F$2:$F$268,"Included",'Source Data'!$I$2:$I$268,"Pending",'Source Data'!$A$2:$A$268,"Google Ads")</f>
        <v>0.0</v>
      </c>
      <c r="L22" s="8">
        <f>IFERROR(D22/C22,0)</f>
        <v>16144.182</v>
      </c>
      <c r="M22" s="10">
        <f>IFERROR(F22/D22,0)</f>
        <v>0.0</v>
      </c>
    </row>
    <row r="23" spans="1:13" ht="20" customHeight="1">
      <c r="A23" t="s">
        <v>68</v>
      </c>
      <c r="B23" t="s">
        <v>334</v>
      </c>
      <c r="C23" s="9">
        <f>COUNTIFS('Source Data'!$F$2:$F$268,"Included",'Source Data'!$I$2:$I$268,"Pending",'Source Data'!$A$2:$A$268,"Direct &amp; Organic")</f>
        <v>6.0</v>
      </c>
      <c r="D23" s="8">
        <f>SUMIFS('Source Data'!$K$2:$K$268,'Source Data'!$F$2:$F$268,"Included",'Source Data'!$I$2:$I$268,"Pending",'Source Data'!$A$2:$A$268,"Direct &amp; Organic")</f>
        <v>108685.01</v>
      </c>
      <c r="E23" s="9">
        <f>SUMIFS('Source Data'!$N$2:$N$268,'Source Data'!$F$2:$F$268,"Included",'Source Data'!$I$2:$I$268,"Pending",'Source Data'!$A$2:$A$268,"Direct &amp; Organic")</f>
        <v>0.0</v>
      </c>
      <c r="F23" s="8">
        <f>SUMIFS('Source Data'!$L$2:$L$268,'Source Data'!$F$2:$F$268,"Included",'Source Data'!$I$2:$I$268,"Pending",'Source Data'!$A$2:$A$268,"Direct &amp; Organic")</f>
        <v>0.0</v>
      </c>
      <c r="G23" s="10">
        <f>IFERROR(E23/C23,0)</f>
        <v>0.0</v>
      </c>
      <c r="H23" s="9">
        <f>SUMIFS('Source Data'!$O$2:$O$268,'Source Data'!$F$2:$F$268,"Included",'Source Data'!$I$2:$I$268,"Pending",'Source Data'!$A$2:$A$268,"Direct &amp; Organic")</f>
        <v>0.0</v>
      </c>
      <c r="I23" s="8">
        <f>SUMIFS('Source Data'!$Q$2:$Q$268,'Source Data'!$F$2:$F$268,"Included",'Source Data'!$I$2:$I$268,"Pending",'Source Data'!$A$2:$A$268,"Direct &amp; Organic")</f>
        <v>0.0</v>
      </c>
      <c r="J23" s="8">
        <f>SUMIFS('Source Data'!$P$2:$P$268,'Source Data'!$F$2:$F$268,"Included",'Source Data'!$I$2:$I$268,"Pending",'Source Data'!$A$2:$A$268,"Direct &amp; Organic")</f>
        <v>108685.01</v>
      </c>
      <c r="K23" s="8">
        <f>SUMIFS('Source Data'!$R$2:$R$268,'Source Data'!$F$2:$F$268,"Included",'Source Data'!$I$2:$I$268,"Pending",'Source Data'!$A$2:$A$268,"Direct &amp; Organic")</f>
        <v>0.0</v>
      </c>
      <c r="L23" s="8">
        <f>IFERROR(D23/C23,0)</f>
        <v>18114.168333333335</v>
      </c>
      <c r="M23" s="10">
        <f>IFERROR(F23/D23,0)</f>
        <v>0.0</v>
      </c>
    </row>
    <row r="24" spans="1:13" ht="20" customHeight="1">
      <c r="A24" t="s">
        <v>68</v>
      </c>
      <c r="B24" t="s">
        <v>910</v>
      </c>
      <c r="C24" s="9">
        <f>COUNTIFS('Source Data'!$F$2:$F$268,"Included",'Source Data'!$I$2:$I$268,"Pending",'Source Data'!$A$2:$A$268,"Referral")</f>
        <v>0.0</v>
      </c>
      <c r="D24" s="8">
        <f>SUMIFS('Source Data'!$K$2:$K$268,'Source Data'!$F$2:$F$268,"Included",'Source Data'!$I$2:$I$268,"Pending",'Source Data'!$A$2:$A$268,"Referral")</f>
        <v>0.0</v>
      </c>
      <c r="E24" s="9">
        <f>SUMIFS('Source Data'!$N$2:$N$268,'Source Data'!$F$2:$F$268,"Included",'Source Data'!$I$2:$I$268,"Pending",'Source Data'!$A$2:$A$268,"Referral")</f>
        <v>0.0</v>
      </c>
      <c r="F24" s="8">
        <f>SUMIFS('Source Data'!$L$2:$L$268,'Source Data'!$F$2:$F$268,"Included",'Source Data'!$I$2:$I$268,"Pending",'Source Data'!$A$2:$A$268,"Referral")</f>
        <v>0.0</v>
      </c>
      <c r="G24" s="10">
        <f>IFERROR(E24/C24,0)</f>
        <v>0.0</v>
      </c>
      <c r="H24" s="9">
        <f>SUMIFS('Source Data'!$O$2:$O$268,'Source Data'!$F$2:$F$268,"Included",'Source Data'!$I$2:$I$268,"Pending",'Source Data'!$A$2:$A$268,"Referral")</f>
        <v>0.0</v>
      </c>
      <c r="I24" s="8">
        <f>SUMIFS('Source Data'!$Q$2:$Q$268,'Source Data'!$F$2:$F$268,"Included",'Source Data'!$I$2:$I$268,"Pending",'Source Data'!$A$2:$A$268,"Referral")</f>
        <v>0.0</v>
      </c>
      <c r="J24" s="8">
        <f>SUMIFS('Source Data'!$P$2:$P$268,'Source Data'!$F$2:$F$268,"Included",'Source Data'!$I$2:$I$268,"Pending",'Source Data'!$A$2:$A$268,"Referral")</f>
        <v>0.0</v>
      </c>
      <c r="K24" s="8">
        <f>SUMIFS('Source Data'!$R$2:$R$268,'Source Data'!$F$2:$F$268,"Included",'Source Data'!$I$2:$I$268,"Pending",'Source Data'!$A$2:$A$268,"Referral")</f>
        <v>0.0</v>
      </c>
      <c r="L24" s="8">
        <f>IFERROR(D24/C24,0)</f>
        <v>0.0</v>
      </c>
      <c r="M24" s="10">
        <f>IFERROR(F24/D24,0)</f>
        <v>0.0</v>
      </c>
    </row>
    <row r="25" spans="1:13" ht="20" customHeight="1">
      <c r="A25" t="s">
        <v>122</v>
      </c>
      <c r="B25" t="s">
        <v>30</v>
      </c>
      <c r="C25" s="9">
        <f>COUNTIFS('Source Data'!$F$2:$F$268,"Included",'Source Data'!$I$2:$I$268,"Processing",'Source Data'!$A$2:$A$268,"Google Ads")</f>
        <v>4.0</v>
      </c>
      <c r="D25" s="8">
        <f>SUMIFS('Source Data'!$K$2:$K$268,'Source Data'!$F$2:$F$268,"Included",'Source Data'!$I$2:$I$268,"Processing",'Source Data'!$A$2:$A$268,"Google Ads")</f>
        <v>113241.25</v>
      </c>
      <c r="E25" s="9">
        <f>SUMIFS('Source Data'!$N$2:$N$268,'Source Data'!$F$2:$F$268,"Included",'Source Data'!$I$2:$I$268,"Processing",'Source Data'!$A$2:$A$268,"Google Ads")</f>
        <v>0.0</v>
      </c>
      <c r="F25" s="8">
        <f>SUMIFS('Source Data'!$L$2:$L$268,'Source Data'!$F$2:$F$268,"Included",'Source Data'!$I$2:$I$268,"Processing",'Source Data'!$A$2:$A$268,"Google Ads")</f>
        <v>0.0</v>
      </c>
      <c r="G25" s="10">
        <f>IFERROR(E25/C25,0)</f>
        <v>0.0</v>
      </c>
      <c r="H25" s="9">
        <f>SUMIFS('Source Data'!$O$2:$O$268,'Source Data'!$F$2:$F$268,"Included",'Source Data'!$I$2:$I$268,"Processing",'Source Data'!$A$2:$A$268,"Google Ads")</f>
        <v>0.0</v>
      </c>
      <c r="I25" s="8">
        <f>SUMIFS('Source Data'!$Q$2:$Q$268,'Source Data'!$F$2:$F$268,"Included",'Source Data'!$I$2:$I$268,"Processing",'Source Data'!$A$2:$A$268,"Google Ads")</f>
        <v>0.0</v>
      </c>
      <c r="J25" s="8">
        <f>SUMIFS('Source Data'!$P$2:$P$268,'Source Data'!$F$2:$F$268,"Included",'Source Data'!$I$2:$I$268,"Processing",'Source Data'!$A$2:$A$268,"Google Ads")</f>
        <v>113241.25</v>
      </c>
      <c r="K25" s="8">
        <f>SUMIFS('Source Data'!$R$2:$R$268,'Source Data'!$F$2:$F$268,"Included",'Source Data'!$I$2:$I$268,"Processing",'Source Data'!$A$2:$A$268,"Google Ads")</f>
        <v>0.0</v>
      </c>
      <c r="L25" s="8">
        <f>IFERROR(D25/C25,0)</f>
        <v>28310.3125</v>
      </c>
      <c r="M25" s="10">
        <f>IFERROR(F25/D25,0)</f>
        <v>0.0</v>
      </c>
    </row>
    <row r="26" spans="1:13" ht="20" customHeight="1">
      <c r="A26" t="s">
        <v>122</v>
      </c>
      <c r="B26" t="s">
        <v>334</v>
      </c>
      <c r="C26" s="9">
        <f>COUNTIFS('Source Data'!$F$2:$F$268,"Included",'Source Data'!$I$2:$I$268,"Processing",'Source Data'!$A$2:$A$268,"Direct &amp; Organic")</f>
        <v>16.0</v>
      </c>
      <c r="D26" s="8">
        <f>SUMIFS('Source Data'!$K$2:$K$268,'Source Data'!$F$2:$F$268,"Included",'Source Data'!$I$2:$I$268,"Processing",'Source Data'!$A$2:$A$268,"Direct &amp; Organic")</f>
        <v>281703.13</v>
      </c>
      <c r="E26" s="9">
        <f>SUMIFS('Source Data'!$N$2:$N$268,'Source Data'!$F$2:$F$268,"Included",'Source Data'!$I$2:$I$268,"Processing",'Source Data'!$A$2:$A$268,"Direct &amp; Organic")</f>
        <v>0.0</v>
      </c>
      <c r="F26" s="8">
        <f>SUMIFS('Source Data'!$L$2:$L$268,'Source Data'!$F$2:$F$268,"Included",'Source Data'!$I$2:$I$268,"Processing",'Source Data'!$A$2:$A$268,"Direct &amp; Organic")</f>
        <v>0.0</v>
      </c>
      <c r="G26" s="10">
        <f>IFERROR(E26/C26,0)</f>
        <v>0.0</v>
      </c>
      <c r="H26" s="9">
        <f>SUMIFS('Source Data'!$O$2:$O$268,'Source Data'!$F$2:$F$268,"Included",'Source Data'!$I$2:$I$268,"Processing",'Source Data'!$A$2:$A$268,"Direct &amp; Organic")</f>
        <v>0.0</v>
      </c>
      <c r="I26" s="8">
        <f>SUMIFS('Source Data'!$Q$2:$Q$268,'Source Data'!$F$2:$F$268,"Included",'Source Data'!$I$2:$I$268,"Processing",'Source Data'!$A$2:$A$268,"Direct &amp; Organic")</f>
        <v>0.0</v>
      </c>
      <c r="J26" s="8">
        <f>SUMIFS('Source Data'!$P$2:$P$268,'Source Data'!$F$2:$F$268,"Included",'Source Data'!$I$2:$I$268,"Processing",'Source Data'!$A$2:$A$268,"Direct &amp; Organic")</f>
        <v>281703.13</v>
      </c>
      <c r="K26" s="8">
        <f>SUMIFS('Source Data'!$R$2:$R$268,'Source Data'!$F$2:$F$268,"Included",'Source Data'!$I$2:$I$268,"Processing",'Source Data'!$A$2:$A$268,"Direct &amp; Organic")</f>
        <v>0.0</v>
      </c>
      <c r="L26" s="8">
        <f>IFERROR(D26/C26,0)</f>
        <v>17606.445625</v>
      </c>
      <c r="M26" s="10">
        <f>IFERROR(F26/D26,0)</f>
        <v>0.0</v>
      </c>
    </row>
    <row r="27" spans="1:13" ht="20" customHeight="1">
      <c r="A27" t="s">
        <v>122</v>
      </c>
      <c r="B27" t="s">
        <v>910</v>
      </c>
      <c r="C27" s="9">
        <f>COUNTIFS('Source Data'!$F$2:$F$268,"Included",'Source Data'!$I$2:$I$268,"Processing",'Source Data'!$A$2:$A$268,"Referral")</f>
        <v>1.0</v>
      </c>
      <c r="D27" s="8">
        <f>SUMIFS('Source Data'!$K$2:$K$268,'Source Data'!$F$2:$F$268,"Included",'Source Data'!$I$2:$I$268,"Processing",'Source Data'!$A$2:$A$268,"Referral")</f>
        <v>13735.18</v>
      </c>
      <c r="E27" s="9">
        <f>SUMIFS('Source Data'!$N$2:$N$268,'Source Data'!$F$2:$F$268,"Included",'Source Data'!$I$2:$I$268,"Processing",'Source Data'!$A$2:$A$268,"Referral")</f>
        <v>0.0</v>
      </c>
      <c r="F27" s="8">
        <f>SUMIFS('Source Data'!$L$2:$L$268,'Source Data'!$F$2:$F$268,"Included",'Source Data'!$I$2:$I$268,"Processing",'Source Data'!$A$2:$A$268,"Referral")</f>
        <v>0.0</v>
      </c>
      <c r="G27" s="10">
        <f>IFERROR(E27/C27,0)</f>
        <v>0.0</v>
      </c>
      <c r="H27" s="9">
        <f>SUMIFS('Source Data'!$O$2:$O$268,'Source Data'!$F$2:$F$268,"Included",'Source Data'!$I$2:$I$268,"Processing",'Source Data'!$A$2:$A$268,"Referral")</f>
        <v>0.0</v>
      </c>
      <c r="I27" s="8">
        <f>SUMIFS('Source Data'!$Q$2:$Q$268,'Source Data'!$F$2:$F$268,"Included",'Source Data'!$I$2:$I$268,"Processing",'Source Data'!$A$2:$A$268,"Referral")</f>
        <v>0.0</v>
      </c>
      <c r="J27" s="8">
        <f>SUMIFS('Source Data'!$P$2:$P$268,'Source Data'!$F$2:$F$268,"Included",'Source Data'!$I$2:$I$268,"Processing",'Source Data'!$A$2:$A$268,"Referral")</f>
        <v>13735.18</v>
      </c>
      <c r="K27" s="8">
        <f>SUMIFS('Source Data'!$R$2:$R$268,'Source Data'!$F$2:$F$268,"Included",'Source Data'!$I$2:$I$268,"Processing",'Source Data'!$A$2:$A$268,"Referral")</f>
        <v>0.0</v>
      </c>
      <c r="L27" s="8">
        <f>IFERROR(D27/C27,0)</f>
        <v>13735.18</v>
      </c>
      <c r="M27" s="10">
        <f>IFERROR(F27/D27,0)</f>
        <v>0.0</v>
      </c>
    </row>
  </sheetData>
  <autoFilter ref="A6:M27"/>
  <mergeCells count="2">
    <mergeCell ref="A1:M2"/>
    <mergeCell ref="A3:M4"/>
  </mergeCells>
  <conditionalFormatting sqref="D7:D27">
    <cfRule type="dataBar" priority="2">
      <dataBar>
        <cfvo type="min" val="0"/>
        <cfvo type="max" val="0"/>
        <color rgb="FF008C95"/>
      </dataBar>
    </cfRule>
  </conditionalFormatting>
  <conditionalFormatting sqref="G7:G27">
    <cfRule type="colorScale" priority="1">
      <colorScale>
        <cfvo type="min" val="0"/>
        <cfvo type="percentile" val="50"/>
        <cfvo type="max" val="0"/>
        <color rgb="FFF8696B"/>
        <color rgb="FFFFEB84"/>
        <color rgb="FF63BE7B"/>
      </colorScale>
    </cfRule>
  </conditionalFormatting>
  <pageMargins left="0.7" right="0.7" top="0.75" bottom="0.75" header="0.3" footer="0.3"/>
  <pageSetup fitToHeight="0" orientation="landscape"/>
</worksheet>
</file>

<file path=xl/worksheets/sheet13.xml><?xml version="1.0" encoding="utf-8"?>
<worksheet xmlns="http://schemas.openxmlformats.org/spreadsheetml/2006/main" xmlns:r="http://schemas.openxmlformats.org/officeDocument/2006/relationships">
  <sheetPr>
    <tabColor rgb="FF008C95"/>
    <pageSetUpPr fitToPage="1"/>
  </sheetPr>
  <dimension ref="A1:L17"/>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20" customHeight="1"/>
  <cols>
    <col min="1" max="1" width="23.7109375" customWidth="1"/>
    <col min="2" max="12" width="21.7109375" customWidth="1"/>
  </cols>
  <sheetData>
    <row r="1" spans="1:12" ht="20" customHeight="1">
      <c r="A1" s="1" t="s">
        <v>1743</v>
      </c>
      <c r="B1" s="1"/>
      <c r="C1" s="1"/>
      <c r="D1" s="1"/>
      <c r="E1" s="1"/>
      <c r="F1" s="1"/>
      <c r="G1" s="1"/>
      <c r="H1" s="1"/>
      <c r="I1" s="1"/>
      <c r="J1" s="1"/>
      <c r="K1" s="1"/>
      <c r="L1" s="1"/>
    </row>
    <row r="2" spans="1:12" ht="20" customHeight="1">
      <c r="A2" s="1"/>
      <c r="B2" s="1"/>
      <c r="C2" s="1"/>
      <c r="D2" s="1"/>
      <c r="E2" s="1"/>
      <c r="F2" s="1"/>
      <c r="G2" s="1"/>
      <c r="H2" s="1"/>
      <c r="I2" s="1"/>
      <c r="J2" s="1"/>
      <c r="K2" s="1"/>
      <c r="L2" s="1"/>
    </row>
    <row r="3" spans="1:12" ht="23" customHeight="1">
      <c r="A3" s="2" t="s">
        <v>1732</v>
      </c>
      <c r="B3" s="2"/>
      <c r="C3" s="2"/>
      <c r="D3" s="2"/>
      <c r="E3" s="2"/>
      <c r="F3" s="2"/>
      <c r="G3" s="2"/>
      <c r="H3" s="2"/>
      <c r="I3" s="2"/>
      <c r="J3" s="2"/>
      <c r="K3" s="2"/>
      <c r="L3" s="2"/>
    </row>
    <row r="4" spans="1:12" ht="20" customHeight="1">
      <c r="A4" s="2"/>
      <c r="B4" s="2"/>
      <c r="C4" s="2"/>
      <c r="D4" s="2"/>
      <c r="E4" s="2"/>
      <c r="F4" s="2"/>
      <c r="G4" s="2"/>
      <c r="H4" s="2"/>
      <c r="I4" s="2"/>
      <c r="J4" s="2"/>
      <c r="K4" s="2"/>
      <c r="L4" s="2"/>
    </row>
    <row r="6" spans="1:12" ht="34" customHeight="1">
      <c r="A6" s="5" t="s">
        <v>3</v>
      </c>
      <c r="B6" s="5" t="s">
        <v>1733</v>
      </c>
      <c r="C6" s="5" t="s">
        <v>12</v>
      </c>
      <c r="D6" s="5" t="s">
        <v>1734</v>
      </c>
      <c r="E6" s="5" t="s">
        <v>13</v>
      </c>
      <c r="F6" s="5" t="s">
        <v>1735</v>
      </c>
      <c r="G6" s="5" t="s">
        <v>1736</v>
      </c>
      <c r="H6" s="5" t="s">
        <v>18</v>
      </c>
      <c r="I6" s="5" t="s">
        <v>17</v>
      </c>
      <c r="J6" s="5" t="s">
        <v>19</v>
      </c>
      <c r="K6" s="5" t="s">
        <v>1737</v>
      </c>
      <c r="L6" s="5" t="s">
        <v>1738</v>
      </c>
    </row>
    <row r="7" spans="1:12" ht="20" customHeight="1">
      <c r="A7" t="s">
        <v>136</v>
      </c>
      <c r="B7" s="9">
        <f>COUNTIFS('Source Data'!$F$2:$F$268,"Included",'Source Data'!$B$2:$B$268,"(cross-network)")</f>
        <v>1.0</v>
      </c>
      <c r="C7" s="8">
        <f>SUMIFS('Source Data'!$K$2:$K$268,'Source Data'!$F$2:$F$268,"Included",'Source Data'!$B$2:$B$268,"(cross-network)")</f>
        <v>8613.66</v>
      </c>
      <c r="D7" s="9">
        <f>SUMIFS('Source Data'!$N$2:$N$268,'Source Data'!$F$2:$F$268,"Included",'Source Data'!$B$2:$B$268,"(cross-network)")</f>
        <v>1.0</v>
      </c>
      <c r="E7" s="8">
        <f>SUMIFS('Source Data'!$L$2:$L$268,'Source Data'!$F$2:$F$268,"Included",'Source Data'!$B$2:$B$268,"(cross-network)")</f>
        <v>8613.66</v>
      </c>
      <c r="F7" s="10">
        <f>IFERROR(D7/B7,0)</f>
        <v>1.0</v>
      </c>
      <c r="G7" s="9">
        <f>SUMIFS('Source Data'!$O$2:$O$268,'Source Data'!$F$2:$F$268,"Included",'Source Data'!$B$2:$B$268,"(cross-network)")</f>
        <v>0.0</v>
      </c>
      <c r="H7" s="8">
        <f>SUMIFS('Source Data'!$Q$2:$Q$268,'Source Data'!$F$2:$F$268,"Included",'Source Data'!$B$2:$B$268,"(cross-network)")</f>
        <v>0.0</v>
      </c>
      <c r="I7" s="8">
        <f>SUMIFS('Source Data'!$P$2:$P$268,'Source Data'!$F$2:$F$268,"Included",'Source Data'!$B$2:$B$268,"(cross-network)")</f>
        <v>0.0</v>
      </c>
      <c r="J7" s="8">
        <f>SUMIFS('Source Data'!$R$2:$R$268,'Source Data'!$F$2:$F$268,"Included",'Source Data'!$B$2:$B$268,"(cross-network)")</f>
        <v>0.0</v>
      </c>
      <c r="K7" s="8">
        <f>IFERROR(C7/B7,0)</f>
        <v>8613.66</v>
      </c>
      <c r="L7" s="10">
        <f>IFERROR(E7/C7,0)</f>
        <v>1.0</v>
      </c>
    </row>
    <row r="8" spans="1:12" ht="20" customHeight="1">
      <c r="A8" t="s">
        <v>335</v>
      </c>
      <c r="B8" s="9">
        <f>COUNTIFS('Source Data'!$F$2:$F$268,"Included",'Source Data'!$B$2:$B$268,"(direct)")</f>
        <v>93.0</v>
      </c>
      <c r="C8" s="8">
        <f>SUMIFS('Source Data'!$K$2:$K$268,'Source Data'!$F$2:$F$268,"Included",'Source Data'!$B$2:$B$268,"(direct)")</f>
        <v>1587411.43</v>
      </c>
      <c r="D8" s="9">
        <f>SUMIFS('Source Data'!$N$2:$N$268,'Source Data'!$F$2:$F$268,"Included",'Source Data'!$B$2:$B$268,"(direct)")</f>
        <v>41.0</v>
      </c>
      <c r="E8" s="8">
        <f>SUMIFS('Source Data'!$L$2:$L$268,'Source Data'!$F$2:$F$268,"Included",'Source Data'!$B$2:$B$268,"(direct)")</f>
        <v>691574.65</v>
      </c>
      <c r="F8" s="10">
        <f>IFERROR(D8/B8,0)</f>
        <v>0.44086021505376344</v>
      </c>
      <c r="G8" s="9">
        <f>SUMIFS('Source Data'!$O$2:$O$268,'Source Data'!$F$2:$F$268,"Included",'Source Data'!$B$2:$B$268,"(direct)")</f>
        <v>26.0</v>
      </c>
      <c r="H8" s="8">
        <f>SUMIFS('Source Data'!$Q$2:$Q$268,'Source Data'!$F$2:$F$268,"Included",'Source Data'!$B$2:$B$268,"(direct)")</f>
        <v>452018.2</v>
      </c>
      <c r="I8" s="8">
        <f>SUMIFS('Source Data'!$P$2:$P$268,'Source Data'!$F$2:$F$268,"Included",'Source Data'!$B$2:$B$268,"(direct)")</f>
        <v>443818.58</v>
      </c>
      <c r="J8" s="8">
        <f>SUMIFS('Source Data'!$R$2:$R$268,'Source Data'!$F$2:$F$268,"Included",'Source Data'!$B$2:$B$268,"(direct)")</f>
        <v>0.0</v>
      </c>
      <c r="K8" s="8">
        <f>IFERROR(C8/B8,0)</f>
        <v>17068.940107526883</v>
      </c>
      <c r="L8" s="10">
        <f>IFERROR(E8/C8,0)</f>
        <v>0.4356618813057179</v>
      </c>
    </row>
    <row r="9" spans="1:12" ht="20" customHeight="1">
      <c r="A9" t="s">
        <v>340</v>
      </c>
      <c r="B9" s="9">
        <f>COUNTIFS('Source Data'!$F$2:$F$268,"Included",'Source Data'!$B$2:$B$268,"(organic)")</f>
        <v>74.0</v>
      </c>
      <c r="C9" s="8">
        <f>SUMIFS('Source Data'!$K$2:$K$268,'Source Data'!$F$2:$F$268,"Included",'Source Data'!$B$2:$B$268,"(organic)")</f>
        <v>1274711.23</v>
      </c>
      <c r="D9" s="9">
        <f>SUMIFS('Source Data'!$N$2:$N$268,'Source Data'!$F$2:$F$268,"Included",'Source Data'!$B$2:$B$268,"(organic)")</f>
        <v>34.0</v>
      </c>
      <c r="E9" s="8">
        <f>SUMIFS('Source Data'!$L$2:$L$268,'Source Data'!$F$2:$F$268,"Included",'Source Data'!$B$2:$B$268,"(organic)")</f>
        <v>615954.2</v>
      </c>
      <c r="F9" s="10">
        <f>IFERROR(D9/B9,0)</f>
        <v>0.4594594594594595</v>
      </c>
      <c r="G9" s="9">
        <f>SUMIFS('Source Data'!$O$2:$O$268,'Source Data'!$F$2:$F$268,"Included",'Source Data'!$B$2:$B$268,"(organic)")</f>
        <v>24.0</v>
      </c>
      <c r="H9" s="8">
        <f>SUMIFS('Source Data'!$Q$2:$Q$268,'Source Data'!$F$2:$F$268,"Included",'Source Data'!$B$2:$B$268,"(organic)")</f>
        <v>381322.94</v>
      </c>
      <c r="I9" s="8">
        <f>SUMIFS('Source Data'!$P$2:$P$268,'Source Data'!$F$2:$F$268,"Included",'Source Data'!$B$2:$B$268,"(organic)")</f>
        <v>217158.02</v>
      </c>
      <c r="J9" s="8">
        <f>SUMIFS('Source Data'!$R$2:$R$268,'Source Data'!$F$2:$F$268,"Included",'Source Data'!$B$2:$B$268,"(organic)")</f>
        <v>60276.07</v>
      </c>
      <c r="K9" s="8">
        <f>IFERROR(C9/B9,0)</f>
        <v>17225.827432432434</v>
      </c>
      <c r="L9" s="10">
        <f>IFERROR(E9/C9,0)</f>
        <v>0.4832107739413263</v>
      </c>
    </row>
    <row r="10" spans="1:12" ht="20" customHeight="1">
      <c r="A10" t="s">
        <v>911</v>
      </c>
      <c r="B10" s="9">
        <f>COUNTIFS('Source Data'!$F$2:$F$268,"Included",'Source Data'!$B$2:$B$268,"(referral)")</f>
        <v>28.0</v>
      </c>
      <c r="C10" s="8">
        <f>SUMIFS('Source Data'!$K$2:$K$268,'Source Data'!$F$2:$F$268,"Included",'Source Data'!$B$2:$B$268,"(referral)")</f>
        <v>464584.11</v>
      </c>
      <c r="D10" s="9">
        <f>SUMIFS('Source Data'!$N$2:$N$268,'Source Data'!$F$2:$F$268,"Included",'Source Data'!$B$2:$B$268,"(referral)")</f>
        <v>10.0</v>
      </c>
      <c r="E10" s="8">
        <f>SUMIFS('Source Data'!$L$2:$L$268,'Source Data'!$F$2:$F$268,"Included",'Source Data'!$B$2:$B$268,"(referral)")</f>
        <v>273228.94</v>
      </c>
      <c r="F10" s="10">
        <f>IFERROR(D10/B10,0)</f>
        <v>0.35714285714285715</v>
      </c>
      <c r="G10" s="9">
        <f>SUMIFS('Source Data'!$O$2:$O$268,'Source Data'!$F$2:$F$268,"Included",'Source Data'!$B$2:$B$268,"(referral)")</f>
        <v>11.0</v>
      </c>
      <c r="H10" s="8">
        <f>SUMIFS('Source Data'!$Q$2:$Q$268,'Source Data'!$F$2:$F$268,"Included",'Source Data'!$B$2:$B$268,"(referral)")</f>
        <v>132243.91</v>
      </c>
      <c r="I10" s="8">
        <f>SUMIFS('Source Data'!$P$2:$P$268,'Source Data'!$F$2:$F$268,"Included",'Source Data'!$B$2:$B$268,"(referral)")</f>
        <v>48170.72</v>
      </c>
      <c r="J10" s="8">
        <f>SUMIFS('Source Data'!$R$2:$R$268,'Source Data'!$F$2:$F$268,"Included",'Source Data'!$B$2:$B$268,"(referral)")</f>
        <v>10940.54</v>
      </c>
      <c r="K10" s="8">
        <f>IFERROR(C10/B10,0)</f>
        <v>16592.289642857144</v>
      </c>
      <c r="L10" s="10">
        <f>IFERROR(E10/C10,0)</f>
        <v>0.5881151208550804</v>
      </c>
    </row>
    <row r="11" spans="1:12" ht="20" customHeight="1">
      <c r="A11" t="s">
        <v>31</v>
      </c>
      <c r="B11" s="9">
        <f>COUNTIFS('Source Data'!$F$2:$F$268,"Included",'Source Data'!$B$2:$B$268,"All Brand - PMax PH")</f>
        <v>13.0</v>
      </c>
      <c r="C11" s="8">
        <f>SUMIFS('Source Data'!$K$2:$K$268,'Source Data'!$F$2:$F$268,"Included",'Source Data'!$B$2:$B$268,"All Brand - PMax PH")</f>
        <v>235238.03</v>
      </c>
      <c r="D11" s="9">
        <f>SUMIFS('Source Data'!$N$2:$N$268,'Source Data'!$F$2:$F$268,"Included",'Source Data'!$B$2:$B$268,"All Brand - PMax PH")</f>
        <v>4.0</v>
      </c>
      <c r="E11" s="8">
        <f>SUMIFS('Source Data'!$L$2:$L$268,'Source Data'!$F$2:$F$268,"Included",'Source Data'!$B$2:$B$268,"All Brand - PMax PH")</f>
        <v>101345.98</v>
      </c>
      <c r="F11" s="10">
        <f>IFERROR(D11/B11,0)</f>
        <v>0.3076923076923077</v>
      </c>
      <c r="G11" s="9">
        <f>SUMIFS('Source Data'!$O$2:$O$268,'Source Data'!$F$2:$F$268,"Included",'Source Data'!$B$2:$B$268,"All Brand - PMax PH")</f>
        <v>4.0</v>
      </c>
      <c r="H11" s="8">
        <f>SUMIFS('Source Data'!$Q$2:$Q$268,'Source Data'!$F$2:$F$268,"Included",'Source Data'!$B$2:$B$268,"All Brand - PMax PH")</f>
        <v>51644.99</v>
      </c>
      <c r="I11" s="8">
        <f>SUMIFS('Source Data'!$P$2:$P$268,'Source Data'!$F$2:$F$268,"Included",'Source Data'!$B$2:$B$268,"All Brand - PMax PH")</f>
        <v>82247.06</v>
      </c>
      <c r="J11" s="8">
        <f>SUMIFS('Source Data'!$R$2:$R$268,'Source Data'!$F$2:$F$268,"Included",'Source Data'!$B$2:$B$268,"All Brand - PMax PH")</f>
        <v>0.0</v>
      </c>
      <c r="K11" s="8">
        <f>IFERROR(C11/B11,0)</f>
        <v>18095.233076923076</v>
      </c>
      <c r="L11" s="10">
        <f>IFERROR(E11/C11,0)</f>
        <v>0.43082311138211793</v>
      </c>
    </row>
    <row r="12" spans="1:12" ht="20" customHeight="1">
      <c r="A12" t="s">
        <v>227</v>
      </c>
      <c r="B12" s="9">
        <f>COUNTIFS('Source Data'!$F$2:$F$268,"Included",'Source Data'!$B$2:$B$268,"BFG - PMax (Traffic)")</f>
        <v>4.0</v>
      </c>
      <c r="C12" s="8">
        <f>SUMIFS('Source Data'!$K$2:$K$268,'Source Data'!$F$2:$F$268,"Included",'Source Data'!$B$2:$B$268,"BFG - PMax (Traffic)")</f>
        <v>64256.79</v>
      </c>
      <c r="D12" s="9">
        <f>SUMIFS('Source Data'!$N$2:$N$268,'Source Data'!$F$2:$F$268,"Included",'Source Data'!$B$2:$B$268,"BFG - PMax (Traffic)")</f>
        <v>0.0</v>
      </c>
      <c r="E12" s="8">
        <f>SUMIFS('Source Data'!$L$2:$L$268,'Source Data'!$F$2:$F$268,"Included",'Source Data'!$B$2:$B$268,"BFG - PMax (Traffic)")</f>
        <v>0.0</v>
      </c>
      <c r="F12" s="10">
        <f>IFERROR(D12/B12,0)</f>
        <v>0.0</v>
      </c>
      <c r="G12" s="9">
        <f>SUMIFS('Source Data'!$O$2:$O$268,'Source Data'!$F$2:$F$268,"Included",'Source Data'!$B$2:$B$268,"BFG - PMax (Traffic)")</f>
        <v>3.0</v>
      </c>
      <c r="H12" s="8">
        <f>SUMIFS('Source Data'!$Q$2:$Q$268,'Source Data'!$F$2:$F$268,"Included",'Source Data'!$B$2:$B$268,"BFG - PMax (Traffic)")</f>
        <v>39372.86</v>
      </c>
      <c r="I12" s="8">
        <f>SUMIFS('Source Data'!$P$2:$P$268,'Source Data'!$F$2:$F$268,"Included",'Source Data'!$B$2:$B$268,"BFG - PMax (Traffic)")</f>
        <v>24883.93</v>
      </c>
      <c r="J12" s="8">
        <f>SUMIFS('Source Data'!$R$2:$R$268,'Source Data'!$F$2:$F$268,"Included",'Source Data'!$B$2:$B$268,"BFG - PMax (Traffic)")</f>
        <v>0.0</v>
      </c>
      <c r="K12" s="8">
        <f>IFERROR(C12/B12,0)</f>
        <v>16064.1975</v>
      </c>
      <c r="L12" s="10">
        <f>IFERROR(E12/C12,0)</f>
        <v>0.0</v>
      </c>
    </row>
    <row r="13" spans="1:12" ht="20" customHeight="1">
      <c r="A13" t="s">
        <v>45</v>
      </c>
      <c r="B13" s="9">
        <f>COUNTIFS('Source Data'!$F$2:$F$268,"Included",'Source Data'!$B$2:$B$268,"BFG Advantage Touring – PMax PH")</f>
        <v>14.0</v>
      </c>
      <c r="C13" s="8">
        <f>SUMIFS('Source Data'!$K$2:$K$268,'Source Data'!$F$2:$F$268,"Included",'Source Data'!$B$2:$B$268,"BFG Advantage Touring – PMax PH")</f>
        <v>261844.11</v>
      </c>
      <c r="D13" s="9">
        <f>SUMIFS('Source Data'!$N$2:$N$268,'Source Data'!$F$2:$F$268,"Included",'Source Data'!$B$2:$B$268,"BFG Advantage Touring – PMax PH")</f>
        <v>4.0</v>
      </c>
      <c r="E13" s="8">
        <f>SUMIFS('Source Data'!$L$2:$L$268,'Source Data'!$F$2:$F$268,"Included",'Source Data'!$B$2:$B$268,"BFG Advantage Touring – PMax PH")</f>
        <v>62467.05</v>
      </c>
      <c r="F13" s="10">
        <f>IFERROR(D13/B13,0)</f>
        <v>0.2857142857142857</v>
      </c>
      <c r="G13" s="9">
        <f>SUMIFS('Source Data'!$O$2:$O$268,'Source Data'!$F$2:$F$268,"Included",'Source Data'!$B$2:$B$268,"BFG Advantage Touring – PMax PH")</f>
        <v>3.0</v>
      </c>
      <c r="H13" s="8">
        <f>SUMIFS('Source Data'!$Q$2:$Q$268,'Source Data'!$F$2:$F$268,"Included",'Source Data'!$B$2:$B$268,"BFG Advantage Touring – PMax PH")</f>
        <v>47300.0</v>
      </c>
      <c r="I13" s="8">
        <f>SUMIFS('Source Data'!$P$2:$P$268,'Source Data'!$F$2:$F$268,"Included",'Source Data'!$B$2:$B$268,"BFG Advantage Touring – PMax PH")</f>
        <v>152077.06</v>
      </c>
      <c r="J13" s="8">
        <f>SUMIFS('Source Data'!$R$2:$R$268,'Source Data'!$F$2:$F$268,"Included",'Source Data'!$B$2:$B$268,"BFG Advantage Touring – PMax PH")</f>
        <v>0.0</v>
      </c>
      <c r="K13" s="8">
        <f>IFERROR(C13/B13,0)</f>
        <v>18703.150714285715</v>
      </c>
      <c r="L13" s="10">
        <f>IFERROR(E13/C13,0)</f>
        <v>0.23856580161379226</v>
      </c>
    </row>
    <row r="14" spans="1:12" ht="20" customHeight="1">
      <c r="A14" t="s">
        <v>105</v>
      </c>
      <c r="B14" s="9">
        <f>COUNTIFS('Source Data'!$F$2:$F$268,"Included",'Source Data'!$B$2:$B$268,"Gulongph Branding - PMax")</f>
        <v>6.0</v>
      </c>
      <c r="C14" s="8">
        <f>SUMIFS('Source Data'!$K$2:$K$268,'Source Data'!$F$2:$F$268,"Included",'Source Data'!$B$2:$B$268,"Gulongph Branding - PMax")</f>
        <v>118985.46</v>
      </c>
      <c r="D14" s="9">
        <f>SUMIFS('Source Data'!$N$2:$N$268,'Source Data'!$F$2:$F$268,"Included",'Source Data'!$B$2:$B$268,"Gulongph Branding - PMax")</f>
        <v>3.0</v>
      </c>
      <c r="E14" s="8">
        <f>SUMIFS('Source Data'!$L$2:$L$268,'Source Data'!$F$2:$F$268,"Included",'Source Data'!$B$2:$B$268,"Gulongph Branding - PMax")</f>
        <v>60447.95</v>
      </c>
      <c r="F14" s="10">
        <f>IFERROR(D14/B14,0)</f>
        <v>0.5</v>
      </c>
      <c r="G14" s="9">
        <f>SUMIFS('Source Data'!$O$2:$O$268,'Source Data'!$F$2:$F$268,"Included",'Source Data'!$B$2:$B$268,"Gulongph Branding - PMax")</f>
        <v>0.0</v>
      </c>
      <c r="H14" s="8">
        <f>SUMIFS('Source Data'!$Q$2:$Q$268,'Source Data'!$F$2:$F$268,"Included",'Source Data'!$B$2:$B$268,"Gulongph Branding - PMax")</f>
        <v>0.0</v>
      </c>
      <c r="I14" s="8">
        <f>SUMIFS('Source Data'!$P$2:$P$268,'Source Data'!$F$2:$F$268,"Included",'Source Data'!$B$2:$B$268,"Gulongph Branding - PMax")</f>
        <v>58537.51</v>
      </c>
      <c r="J14" s="8">
        <f>SUMIFS('Source Data'!$R$2:$R$268,'Source Data'!$F$2:$F$268,"Included",'Source Data'!$B$2:$B$268,"Gulongph Branding - PMax")</f>
        <v>0.0</v>
      </c>
      <c r="K14" s="8">
        <f>IFERROR(C14/B14,0)</f>
        <v>19830.91</v>
      </c>
      <c r="L14" s="10">
        <f>IFERROR(E14/C14,0)</f>
        <v>0.5080280397285517</v>
      </c>
    </row>
    <row r="15" spans="1:12" ht="20" customHeight="1">
      <c r="A15" t="s">
        <v>54</v>
      </c>
      <c r="B15" s="9">
        <f>COUNTIFS('Source Data'!$F$2:$F$268,"Included",'Source Data'!$B$2:$B$268,"MICHELIN - PMAX (Traffic)")</f>
        <v>1.0</v>
      </c>
      <c r="C15" s="8">
        <f>SUMIFS('Source Data'!$K$2:$K$268,'Source Data'!$F$2:$F$268,"Included",'Source Data'!$B$2:$B$268,"MICHELIN - PMAX (Traffic)")</f>
        <v>7095.27</v>
      </c>
      <c r="D15" s="9">
        <f>SUMIFS('Source Data'!$N$2:$N$268,'Source Data'!$F$2:$F$268,"Included",'Source Data'!$B$2:$B$268,"MICHELIN - PMAX (Traffic)")</f>
        <v>1.0</v>
      </c>
      <c r="E15" s="8">
        <f>SUMIFS('Source Data'!$L$2:$L$268,'Source Data'!$F$2:$F$268,"Included",'Source Data'!$B$2:$B$268,"MICHELIN - PMAX (Traffic)")</f>
        <v>7095.27</v>
      </c>
      <c r="F15" s="10">
        <f>IFERROR(D15/B15,0)</f>
        <v>1.0</v>
      </c>
      <c r="G15" s="9">
        <f>SUMIFS('Source Data'!$O$2:$O$268,'Source Data'!$F$2:$F$268,"Included",'Source Data'!$B$2:$B$268,"MICHELIN - PMAX (Traffic)")</f>
        <v>0.0</v>
      </c>
      <c r="H15" s="8">
        <f>SUMIFS('Source Data'!$Q$2:$Q$268,'Source Data'!$F$2:$F$268,"Included",'Source Data'!$B$2:$B$268,"MICHELIN - PMAX (Traffic)")</f>
        <v>0.0</v>
      </c>
      <c r="I15" s="8">
        <f>SUMIFS('Source Data'!$P$2:$P$268,'Source Data'!$F$2:$F$268,"Included",'Source Data'!$B$2:$B$268,"MICHELIN - PMAX (Traffic)")</f>
        <v>0.0</v>
      </c>
      <c r="J15" s="8">
        <f>SUMIFS('Source Data'!$R$2:$R$268,'Source Data'!$F$2:$F$268,"Included",'Source Data'!$B$2:$B$268,"MICHELIN - PMAX (Traffic)")</f>
        <v>0.0</v>
      </c>
      <c r="K15" s="8">
        <f>IFERROR(C15/B15,0)</f>
        <v>7095.27</v>
      </c>
      <c r="L15" s="10">
        <f>IFERROR(E15/C15,0)</f>
        <v>1.0</v>
      </c>
    </row>
    <row r="16" spans="1:12" ht="20" customHeight="1">
      <c r="A16" t="s">
        <v>61</v>
      </c>
      <c r="B16" s="9">
        <f>COUNTIFS('Source Data'!$F$2:$F$268,"Included",'Source Data'!$B$2:$B$268,"Michelin - PMax PH")</f>
        <v>22.0</v>
      </c>
      <c r="C16" s="8">
        <f>SUMIFS('Source Data'!$K$2:$K$268,'Source Data'!$F$2:$F$268,"Included",'Source Data'!$B$2:$B$268,"Michelin - PMax PH")</f>
        <v>562444.91</v>
      </c>
      <c r="D16" s="9">
        <f>SUMIFS('Source Data'!$N$2:$N$268,'Source Data'!$F$2:$F$268,"Included",'Source Data'!$B$2:$B$268,"Michelin - PMax PH")</f>
        <v>10.0</v>
      </c>
      <c r="E16" s="8">
        <f>SUMIFS('Source Data'!$L$2:$L$268,'Source Data'!$F$2:$F$268,"Included",'Source Data'!$B$2:$B$268,"Michelin - PMax PH")</f>
        <v>237374.56</v>
      </c>
      <c r="F16" s="10">
        <f>IFERROR(D16/B16,0)</f>
        <v>0.45454545454545453</v>
      </c>
      <c r="G16" s="9">
        <f>SUMIFS('Source Data'!$O$2:$O$268,'Source Data'!$F$2:$F$268,"Included",'Source Data'!$B$2:$B$268,"Michelin - PMax PH")</f>
        <v>7.0</v>
      </c>
      <c r="H16" s="8">
        <f>SUMIFS('Source Data'!$Q$2:$Q$268,'Source Data'!$F$2:$F$268,"Included",'Source Data'!$B$2:$B$268,"Michelin - PMax PH")</f>
        <v>168240.16</v>
      </c>
      <c r="I16" s="8">
        <f>SUMIFS('Source Data'!$P$2:$P$268,'Source Data'!$F$2:$F$268,"Included",'Source Data'!$B$2:$B$268,"Michelin - PMax PH")</f>
        <v>145889.65</v>
      </c>
      <c r="J16" s="8">
        <f>SUMIFS('Source Data'!$R$2:$R$268,'Source Data'!$F$2:$F$268,"Included",'Source Data'!$B$2:$B$268,"Michelin - PMax PH")</f>
        <v>10940.54</v>
      </c>
      <c r="K16" s="8">
        <f>IFERROR(C16/B16,0)</f>
        <v>25565.677727272727</v>
      </c>
      <c r="L16" s="10">
        <f>IFERROR(E16/C16,0)</f>
        <v>0.422040551491523</v>
      </c>
    </row>
    <row r="17" spans="1:12" ht="20" customHeight="1">
      <c r="A17" t="s">
        <v>84</v>
      </c>
      <c r="B17" s="9">
        <f>COUNTIFS('Source Data'!$F$2:$F$268,"Included",'Source Data'!$B$2:$B$268,"SRC | All Brands | PH")</f>
        <v>6.0</v>
      </c>
      <c r="C17" s="8">
        <f>SUMIFS('Source Data'!$K$2:$K$268,'Source Data'!$F$2:$F$268,"Included",'Source Data'!$B$2:$B$268,"SRC | All Brands | PH")</f>
        <v>214631.25</v>
      </c>
      <c r="D17" s="9">
        <f>SUMIFS('Source Data'!$N$2:$N$268,'Source Data'!$F$2:$F$268,"Included",'Source Data'!$B$2:$B$268,"SRC | All Brands | PH")</f>
        <v>3.0</v>
      </c>
      <c r="E17" s="8">
        <f>SUMIFS('Source Data'!$L$2:$L$268,'Source Data'!$F$2:$F$268,"Included",'Source Data'!$B$2:$B$268,"SRC | All Brands | PH")</f>
        <v>33363.03</v>
      </c>
      <c r="F17" s="10">
        <f>IFERROR(D17/B17,0)</f>
        <v>0.5</v>
      </c>
      <c r="G17" s="9">
        <f>SUMIFS('Source Data'!$O$2:$O$268,'Source Data'!$F$2:$F$268,"Included",'Source Data'!$B$2:$B$268,"SRC | All Brands | PH")</f>
        <v>1.0</v>
      </c>
      <c r="H17" s="8">
        <f>SUMIFS('Source Data'!$Q$2:$Q$268,'Source Data'!$F$2:$F$268,"Included",'Source Data'!$B$2:$B$268,"SRC | All Brands | PH")</f>
        <v>21633.93</v>
      </c>
      <c r="I17" s="8">
        <f>SUMIFS('Source Data'!$P$2:$P$268,'Source Data'!$F$2:$F$268,"Included",'Source Data'!$B$2:$B$268,"SRC | All Brands | PH")</f>
        <v>159634.29</v>
      </c>
      <c r="J17" s="8">
        <f>SUMIFS('Source Data'!$R$2:$R$268,'Source Data'!$F$2:$F$268,"Included",'Source Data'!$B$2:$B$268,"SRC | All Brands | PH")</f>
        <v>0.0</v>
      </c>
      <c r="K17" s="8">
        <f>IFERROR(C17/B17,0)</f>
        <v>35771.875</v>
      </c>
      <c r="L17" s="10">
        <f>IFERROR(E17/C17,0)</f>
        <v>0.1554434873766052</v>
      </c>
    </row>
  </sheetData>
  <autoFilter ref="A6:L17"/>
  <mergeCells count="2">
    <mergeCell ref="A1:L2"/>
    <mergeCell ref="A3:L4"/>
  </mergeCells>
  <conditionalFormatting sqref="C7:C17">
    <cfRule type="dataBar" priority="2">
      <dataBar>
        <cfvo type="min" val="0"/>
        <cfvo type="max" val="0"/>
        <color rgb="FF008C95"/>
      </dataBar>
    </cfRule>
  </conditionalFormatting>
  <conditionalFormatting sqref="F7:F17">
    <cfRule type="colorScale" priority="1">
      <colorScale>
        <cfvo type="min" val="0"/>
        <cfvo type="percentile" val="50"/>
        <cfvo type="max" val="0"/>
        <color rgb="FFF8696B"/>
        <color rgb="FFFFEB84"/>
        <color rgb="FF63BE7B"/>
      </colorScale>
    </cfRule>
  </conditionalFormatting>
  <pageMargins left="0.7" right="0.7" top="0.75" bottom="0.75" header="0.3" footer="0.3"/>
  <pageSetup fitToHeight="0" orientation="landscape"/>
</worksheet>
</file>

<file path=xl/worksheets/sheet14.xml><?xml version="1.0" encoding="utf-8"?>
<worksheet xmlns="http://schemas.openxmlformats.org/spreadsheetml/2006/main" xmlns:r="http://schemas.openxmlformats.org/officeDocument/2006/relationships">
  <sheetPr>
    <tabColor rgb="FF008C95"/>
    <pageSetUpPr fitToPage="1"/>
  </sheetPr>
  <dimension ref="A1:H5"/>
  <sheetViews>
    <sheetView showGridLines="0" workbookViewId="0"/>
  </sheetViews>
  <sheetFormatPr defaultRowHeight="20" customHeight="1"/>
  <cols>
    <col min="1" max="8" width="22.7109375" customWidth="1"/>
  </cols>
  <sheetData>
    <row r="1" spans="1:8" ht="20" customHeight="1">
      <c r="A1" t="s">
        <v>6</v>
      </c>
      <c r="B1" t="s">
        <v>30</v>
      </c>
      <c r="C1" t="s">
        <v>334</v>
      </c>
      <c r="D1" t="s">
        <v>910</v>
      </c>
      <c r="E1" t="s">
        <v>1744</v>
      </c>
      <c r="F1" t="s">
        <v>1745</v>
      </c>
      <c r="G1" t="s">
        <v>1746</v>
      </c>
      <c r="H1" t="s">
        <v>1747</v>
      </c>
    </row>
    <row r="2" spans="1:8" ht="20" customHeight="1">
      <c r="A2" t="s">
        <v>47</v>
      </c>
      <c r="B2" s="8">
        <f>'Weekly Summary'!D7</f>
        <v>522608.31</v>
      </c>
      <c r="C2" s="8">
        <f>'Weekly Summary'!D8</f>
        <v>793046.8</v>
      </c>
      <c r="D2" s="8">
        <f>'Weekly Summary'!D9</f>
        <v>90845.09</v>
      </c>
      <c r="E2" s="8">
        <f>SUM(B2:D2)</f>
        <v>1406500.2</v>
      </c>
      <c r="F2" s="8">
        <v>805398.16</v>
      </c>
      <c r="G2">
        <v>7</v>
      </c>
      <c r="H2" s="8">
        <f>E2/G2</f>
        <v>200928.6</v>
      </c>
    </row>
    <row r="3" spans="1:8" ht="20" customHeight="1">
      <c r="A3" t="s">
        <v>56</v>
      </c>
      <c r="B3" s="8">
        <f>'Weekly Summary'!D10</f>
        <v>232561.16</v>
      </c>
      <c r="C3" s="8">
        <f>'Weekly Summary'!D11</f>
        <v>1071884.97</v>
      </c>
      <c r="D3" s="8">
        <f>'Weekly Summary'!D12</f>
        <v>208630.37</v>
      </c>
      <c r="E3" s="8">
        <f>SUM(B3:D3)</f>
        <v>1513076.5</v>
      </c>
      <c r="F3" s="8">
        <v>812394.74</v>
      </c>
      <c r="G3">
        <v>7</v>
      </c>
      <c r="H3" s="8">
        <f>E3/G3</f>
        <v>216153.7857142857</v>
      </c>
    </row>
    <row r="4" spans="1:8" ht="20" customHeight="1">
      <c r="A4" t="s">
        <v>33</v>
      </c>
      <c r="B4" s="8">
        <f>'Weekly Summary'!D13</f>
        <v>552631.53</v>
      </c>
      <c r="C4" s="8">
        <f>'Weekly Summary'!D14</f>
        <v>684801.78</v>
      </c>
      <c r="D4" s="8">
        <f>'Weekly Summary'!D15</f>
        <v>134840.53</v>
      </c>
      <c r="E4" s="8">
        <f>SUM(B4:D4)</f>
        <v>1372273.84</v>
      </c>
      <c r="F4" s="8">
        <v>473672.39</v>
      </c>
      <c r="G4">
        <v>7</v>
      </c>
      <c r="H4" s="8">
        <f>E4/G4</f>
        <v>196039.12000000002</v>
      </c>
    </row>
    <row r="5" spans="1:8" ht="20" customHeight="1">
      <c r="A5" t="s">
        <v>1748</v>
      </c>
      <c r="B5" s="8">
        <f>'Weekly Summary'!D16</f>
        <v>165308.48</v>
      </c>
      <c r="C5" s="8">
        <f>'Weekly Summary'!D17</f>
        <v>312389.11</v>
      </c>
      <c r="D5" s="8">
        <f>'Weekly Summary'!D18</f>
        <v>30268.12</v>
      </c>
      <c r="E5" s="8">
        <f>SUM(B5:D5)</f>
        <v>507965.71</v>
      </c>
      <c r="F5" s="8">
        <v>0</v>
      </c>
      <c r="G5">
        <v>3</v>
      </c>
      <c r="H5" s="8">
        <f>E5/G5</f>
        <v>169321.90333333335</v>
      </c>
    </row>
  </sheetData>
  <pageMargins left="0.7" right="0.7" top="0.75" bottom="0.75" header="0.3" footer="0.3"/>
  <pageSetup fitToHeight="0" orientation="landscape"/>
</worksheet>
</file>

<file path=xl/worksheets/sheet15.xml><?xml version="1.0" encoding="utf-8"?>
<worksheet xmlns="http://schemas.openxmlformats.org/spreadsheetml/2006/main" xmlns:r="http://schemas.openxmlformats.org/officeDocument/2006/relationships">
  <sheetPr>
    <tabColor rgb="FF008C95"/>
    <pageSetUpPr fitToPage="1"/>
  </sheetPr>
  <dimension ref="A1:F20"/>
  <sheetViews>
    <sheetView showGridLines="0" workbookViewId="0"/>
  </sheetViews>
  <sheetFormatPr defaultRowHeight="20" customHeight="1"/>
  <cols>
    <col min="1" max="1" width="29.7109375" customWidth="1"/>
    <col min="2" max="2" width="115.7109375" customWidth="1"/>
  </cols>
  <sheetData>
    <row r="1" spans="1:6" ht="20" customHeight="1">
      <c r="A1" s="1" t="s">
        <v>1762</v>
      </c>
      <c r="B1" s="1"/>
      <c r="C1" s="1"/>
      <c r="D1" s="1"/>
      <c r="E1" s="1"/>
      <c r="F1" s="1"/>
    </row>
    <row r="2" spans="1:6" ht="20" customHeight="1">
      <c r="A2" s="1"/>
      <c r="B2" s="1"/>
      <c r="C2" s="1"/>
      <c r="D2" s="1"/>
      <c r="E2" s="1"/>
      <c r="F2" s="1"/>
    </row>
    <row r="3" spans="1:6" ht="23" customHeight="1">
      <c r="A3" s="2" t="s">
        <v>1763</v>
      </c>
      <c r="B3" s="2"/>
      <c r="C3" s="2"/>
      <c r="D3" s="2"/>
      <c r="E3" s="2"/>
      <c r="F3" s="2"/>
    </row>
    <row r="4" spans="1:6" ht="20" customHeight="1">
      <c r="A4" s="2"/>
      <c r="B4" s="2"/>
      <c r="C4" s="2"/>
      <c r="D4" s="2"/>
      <c r="E4" s="2"/>
      <c r="F4" s="2"/>
    </row>
    <row r="6" spans="1:6" ht="48" customHeight="1">
      <c r="A6" s="5" t="s">
        <v>1764</v>
      </c>
      <c r="B6" s="6" t="s">
        <v>1765</v>
      </c>
    </row>
    <row r="7" spans="1:6" ht="48" customHeight="1">
      <c r="A7" s="5" t="s">
        <v>1766</v>
      </c>
      <c r="B7" s="6" t="s">
        <v>1767</v>
      </c>
    </row>
    <row r="8" spans="1:6" ht="48" customHeight="1">
      <c r="A8" s="5" t="s">
        <v>1768</v>
      </c>
      <c r="B8" s="6" t="s">
        <v>1769</v>
      </c>
    </row>
    <row r="9" spans="1:6" ht="48" customHeight="1">
      <c r="A9" s="5" t="s">
        <v>1770</v>
      </c>
      <c r="B9" s="6" t="s">
        <v>1771</v>
      </c>
    </row>
    <row r="10" spans="1:6" ht="48" customHeight="1">
      <c r="A10" s="5" t="s">
        <v>12</v>
      </c>
      <c r="B10" s="6" t="s">
        <v>1772</v>
      </c>
    </row>
    <row r="11" spans="1:6" ht="48" customHeight="1">
      <c r="A11" s="5" t="s">
        <v>1773</v>
      </c>
      <c r="B11" s="6" t="s">
        <v>1774</v>
      </c>
    </row>
    <row r="12" spans="1:6" ht="48" customHeight="1">
      <c r="A12" s="5" t="s">
        <v>8</v>
      </c>
      <c r="B12" s="6" t="s">
        <v>1775</v>
      </c>
    </row>
    <row r="13" spans="1:6" ht="48" customHeight="1">
      <c r="A13" s="5" t="s">
        <v>1776</v>
      </c>
      <c r="B13" s="6" t="s">
        <v>1777</v>
      </c>
    </row>
    <row r="14" spans="1:6" ht="48" customHeight="1">
      <c r="A14" s="5" t="s">
        <v>1778</v>
      </c>
      <c r="B14" s="6" t="s">
        <v>1779</v>
      </c>
    </row>
    <row r="15" spans="1:6" ht="48" customHeight="1">
      <c r="A15" s="5" t="s">
        <v>1780</v>
      </c>
      <c r="B15" s="6" t="s">
        <v>1781</v>
      </c>
    </row>
    <row r="16" spans="1:6" ht="48" customHeight="1">
      <c r="A16" s="5" t="s">
        <v>1782</v>
      </c>
      <c r="B16" s="6" t="s">
        <v>1783</v>
      </c>
    </row>
    <row r="17" spans="1:2" ht="48" customHeight="1">
      <c r="A17" s="5" t="s">
        <v>1784</v>
      </c>
      <c r="B17" s="6" t="s">
        <v>1785</v>
      </c>
    </row>
    <row r="18" spans="1:2" ht="48" customHeight="1">
      <c r="A18" s="5" t="s">
        <v>1786</v>
      </c>
      <c r="B18" s="6" t="s">
        <v>1787</v>
      </c>
    </row>
    <row r="19" spans="1:2" ht="48" customHeight="1">
      <c r="A19" s="5" t="s">
        <v>1788</v>
      </c>
      <c r="B19" s="6" t="s">
        <v>1789</v>
      </c>
    </row>
    <row r="20" spans="1:2" ht="48" customHeight="1">
      <c r="A20" s="5" t="s">
        <v>1790</v>
      </c>
      <c r="B20" s="6" t="s">
        <v>1791</v>
      </c>
    </row>
  </sheetData>
  <mergeCells count="2">
    <mergeCell ref="A1:F2"/>
    <mergeCell ref="A3:F4"/>
  </mergeCell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Executive Dashboard</vt:lpstr>
      <vt:lpstr>Source Data</vt:lpstr>
      <vt:lpstr>Original Google Ads</vt:lpstr>
      <vt:lpstr>Original Direct Organic</vt:lpstr>
      <vt:lpstr>Original Referral</vt:lpstr>
      <vt:lpstr>Backend Extract</vt:lpstr>
      <vt:lpstr>Exceptions</vt:lpstr>
      <vt:lpstr>Channel Summary</vt:lpstr>
      <vt:lpstr>Weekly Summary</vt:lpstr>
      <vt:lpstr>Customer Type</vt:lpstr>
      <vt:lpstr>Channel Customer Type</vt:lpstr>
      <vt:lpstr>Status Breakdown</vt:lpstr>
      <vt:lpstr>Campaign Breakdown</vt:lpstr>
      <vt:lpstr>Chart Data</vt:lpstr>
      <vt:lpstr>Read Me</vt:lpstr>
      <vt:lpstr>'Executive Dashboard'!Print_Area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Gulong | September Channel Revenue</dc:title>
  <dc:subject>September 1–24, 2026 order cohorts</dc:subject>
  <dc:creator>Gulong Analytics</dc:creator>
  <cp:lastModifiedBy>Gulong Analytics</cp:lastModifiedBy>
  <dcterms:created xsi:type="dcterms:W3CDTF">2026-09-24T18:29:36Z</dcterms:created>
  <dcterms:modified xsi:type="dcterms:W3CDTF">2026-09-24T18:29:36Z</dcterms:modified>
</cp:coreProperties>
</file>