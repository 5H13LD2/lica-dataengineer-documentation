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Executive Analysis" sheetId="1" state="visible" r:id="rId1"/>
    <sheet name="Tires Sold per Year" sheetId="2" state="visible" r:id="rId2"/>
    <sheet name="Price per Category" sheetId="3" state="visible" r:id="rId3"/>
    <sheet name="Raw Data" sheetId="4" state="visible" r:id="rId4"/>
    <sheet name="Methodology" sheetId="5" state="visible" r:id="rId5"/>
  </sheets>
  <definedNames>
    <definedName name="_xlnm._FilterDatabase" localSheetId="1" hidden="1">'Tires Sold per Year'!$A$5:$J$8</definedName>
    <definedName name="_xlnm._FilterDatabase" localSheetId="3" hidden="1">'Raw Data'!$A$4:$F$16</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5">
    <numFmt numFmtId="164" formatCode="\₱#,##0"/>
    <numFmt numFmtId="165" formatCode="0.0%"/>
    <numFmt numFmtId="166" formatCode="₱#,##0.00"/>
    <numFmt numFmtId="167" formatCode="0.0%;[Red]-0.0%"/>
    <numFmt numFmtId="168"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3"/>
    </font>
    <font>
      <name val="Arial"/>
      <charset val="1"/>
      <family val="0"/>
      <b val="1"/>
      <color rgb="FFFFFFFF"/>
      <sz val="11"/>
    </font>
    <font>
      <name val="Arial"/>
      <charset val="1"/>
      <family val="0"/>
      <i val="1"/>
      <color rgb="FF808080"/>
      <sz val="9"/>
    </font>
    <font>
      <name val="Arial"/>
      <charset val="1"/>
      <family val="0"/>
      <sz val="11"/>
    </font>
    <font>
      <name val="Arial"/>
      <charset val="1"/>
      <family val="0"/>
      <color rgb="FF0000FF"/>
      <sz val="11"/>
    </font>
    <font>
      <name val="Arial"/>
      <charset val="1"/>
      <family val="0"/>
      <b val="1"/>
      <sz val="11"/>
    </font>
    <font>
      <name val="Arial"/>
      <charset val="1"/>
      <family val="0"/>
      <b val="1"/>
      <color rgb="FF1F4E78"/>
      <sz val="11"/>
    </font>
    <font>
      <b val="1"/>
      <color rgb="00FFFFFF"/>
      <sz val="20"/>
    </font>
    <font>
      <i val="1"/>
      <color rgb="00667085"/>
      <sz val="10"/>
    </font>
    <font>
      <b val="1"/>
      <color rgb="00FFFFFF"/>
    </font>
    <font>
      <b val="1"/>
      <color rgb="0017365D"/>
      <sz val="16"/>
    </font>
    <font>
      <b val="1"/>
      <color rgb="009C5700"/>
    </font>
  </fonts>
  <fills count="10">
    <fill>
      <patternFill/>
    </fill>
    <fill>
      <patternFill patternType="gray125"/>
    </fill>
    <fill>
      <patternFill patternType="solid">
        <fgColor rgb="FF1F4E78"/>
        <bgColor rgb="FF003366"/>
      </patternFill>
    </fill>
    <fill>
      <patternFill patternType="solid">
        <fgColor rgb="FFDDEBF7"/>
        <bgColor rgb="FFD9D9D9"/>
      </patternFill>
    </fill>
    <fill>
      <patternFill patternType="solid">
        <fgColor rgb="0017365D"/>
      </patternFill>
    </fill>
    <fill>
      <patternFill patternType="solid">
        <fgColor rgb="00F2F4F7"/>
      </patternFill>
    </fill>
    <fill>
      <patternFill patternType="solid">
        <fgColor rgb="002F75B5"/>
      </patternFill>
    </fill>
    <fill>
      <patternFill patternType="solid">
        <fgColor rgb="00D9EAF7"/>
      </patternFill>
    </fill>
    <fill>
      <patternFill patternType="solid">
        <fgColor rgb="00FFFFFF"/>
      </patternFill>
    </fill>
    <fill>
      <patternFill patternType="solid">
        <fgColor rgb="00FFF2CC"/>
      </patternFill>
    </fill>
  </fills>
  <borders count="5">
    <border>
      <left/>
      <right/>
      <top/>
      <bottom/>
      <diagonal/>
    </border>
    <border>
      <left style="thin">
        <color rgb="FFD9D9D9"/>
      </left>
      <right style="thin">
        <color rgb="FFD9D9D9"/>
      </right>
      <top style="thin">
        <color rgb="FFD9D9D9"/>
      </top>
      <bottom style="thin">
        <color rgb="FFD9D9D9"/>
      </bottom>
      <diagonal/>
    </border>
    <border>
      <bottom style="thin">
        <color rgb="00D0D5DD"/>
      </bottom>
    </border>
    <border>
      <left/>
      <right/>
      <top/>
      <bottom style="thin">
        <color rgb="00D0D5DD"/>
      </bottom>
      <diagonal/>
    </border>
    <border>
      <right/>
      <bottom style="thin">
        <color rgb="00D0D5D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left" vertical="center"/>
    </xf>
    <xf numFmtId="0" fontId="5" fillId="2" borderId="1" applyAlignment="1" pivotButton="0" quotePrefix="0" xfId="0">
      <alignment horizontal="center" vertical="center"/>
    </xf>
    <xf numFmtId="0" fontId="6" fillId="0" borderId="0" applyAlignment="1" pivotButton="0" quotePrefix="0" xfId="0">
      <alignment horizontal="general" vertical="bottom"/>
    </xf>
    <xf numFmtId="0" fontId="7" fillId="0" borderId="1" applyAlignment="1" pivotButton="0" quotePrefix="0" xfId="0">
      <alignment horizontal="left" vertical="center"/>
    </xf>
    <xf numFmtId="3" fontId="7" fillId="0" borderId="1" applyAlignment="1" pivotButton="0" quotePrefix="0" xfId="0">
      <alignment horizontal="right" vertical="center"/>
    </xf>
    <xf numFmtId="164" fontId="7" fillId="0" borderId="1" applyAlignment="1" pivotButton="0" quotePrefix="0" xfId="0">
      <alignment horizontal="right" vertical="center"/>
    </xf>
    <xf numFmtId="165" fontId="7" fillId="0" borderId="1" applyAlignment="1" pivotButton="0" quotePrefix="0" xfId="0">
      <alignment horizontal="right"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3" borderId="1" applyAlignment="1" pivotButton="0" quotePrefix="0" xfId="0">
      <alignment horizontal="left" vertical="center"/>
    </xf>
    <xf numFmtId="3" fontId="9" fillId="3" borderId="1" applyAlignment="1" pivotButton="0" quotePrefix="0" xfId="0">
      <alignment horizontal="right" vertical="center"/>
    </xf>
    <xf numFmtId="164" fontId="9" fillId="3" borderId="1" applyAlignment="1" pivotButton="0" quotePrefix="0" xfId="0">
      <alignment horizontal="right" vertical="center"/>
    </xf>
    <xf numFmtId="0" fontId="9" fillId="3" borderId="1" applyAlignment="1" pivotButton="0" quotePrefix="0" xfId="0">
      <alignment horizontal="right" vertical="center"/>
    </xf>
    <xf numFmtId="3" fontId="8" fillId="0" borderId="0" applyAlignment="1" pivotButton="0" quotePrefix="0" xfId="0">
      <alignment horizontal="general" vertical="bottom"/>
    </xf>
    <xf numFmtId="0" fontId="10" fillId="0" borderId="0" applyAlignment="1" pivotButton="0" quotePrefix="0" xfId="0">
      <alignment horizontal="general" vertical="bottom"/>
    </xf>
    <xf numFmtId="3" fontId="8" fillId="0" borderId="1" applyAlignment="1" pivotButton="0" quotePrefix="0" xfId="0">
      <alignment horizontal="right" vertical="center"/>
    </xf>
    <xf numFmtId="164" fontId="8" fillId="0" borderId="1" applyAlignment="1" pivotButton="0" quotePrefix="0" xfId="0">
      <alignment horizontal="right" vertical="center"/>
    </xf>
    <xf numFmtId="0" fontId="0" fillId="0" borderId="0" pivotButton="0" quotePrefix="0" xfId="0"/>
    <xf numFmtId="0" fontId="11" fillId="4" borderId="0" applyAlignment="1" pivotButton="0" quotePrefix="0" xfId="0">
      <alignment vertical="center"/>
    </xf>
    <xf numFmtId="0" fontId="12" fillId="0" borderId="0" applyAlignment="1" pivotButton="0" quotePrefix="0" xfId="0">
      <alignment vertical="center" wrapText="1"/>
    </xf>
    <xf numFmtId="0" fontId="13" fillId="6" borderId="0" applyAlignment="1" pivotButton="0" quotePrefix="0" xfId="0">
      <alignment horizontal="center"/>
    </xf>
    <xf numFmtId="3" fontId="14" fillId="7" borderId="0" applyAlignment="1" pivotButton="0" quotePrefix="0" xfId="0">
      <alignment horizontal="center"/>
    </xf>
    <xf numFmtId="166" fontId="14" fillId="7" borderId="0" applyAlignment="1" pivotButton="0" quotePrefix="0" xfId="0">
      <alignment horizontal="center"/>
    </xf>
    <xf numFmtId="165" fontId="14" fillId="7" borderId="0" applyAlignment="1" pivotButton="0" quotePrefix="0" xfId="0">
      <alignment horizontal="center"/>
    </xf>
    <xf numFmtId="0" fontId="13" fillId="6" borderId="0" applyAlignment="1" pivotButton="0" quotePrefix="0" xfId="0">
      <alignment vertical="center"/>
    </xf>
    <xf numFmtId="0" fontId="0" fillId="8" borderId="0" applyAlignment="1" pivotButton="0" quotePrefix="0" xfId="0">
      <alignment vertical="center" wrapText="1"/>
    </xf>
    <xf numFmtId="0" fontId="0" fillId="5" borderId="0" applyAlignment="1" pivotButton="0" quotePrefix="0" xfId="0">
      <alignment vertical="center" wrapText="1"/>
    </xf>
    <xf numFmtId="0" fontId="13" fillId="4" borderId="2" applyAlignment="1" pivotButton="0" quotePrefix="0" xfId="0">
      <alignment vertical="center"/>
    </xf>
    <xf numFmtId="0" fontId="0" fillId="0" borderId="2" applyAlignment="1" pivotButton="0" quotePrefix="0" xfId="0">
      <alignment vertical="center"/>
    </xf>
    <xf numFmtId="3" fontId="0" fillId="0" borderId="2" applyAlignment="1" pivotButton="0" quotePrefix="0" xfId="0">
      <alignment vertical="center"/>
    </xf>
    <xf numFmtId="166" fontId="0" fillId="0" borderId="2" applyAlignment="1" pivotButton="0" quotePrefix="0" xfId="0">
      <alignment vertical="center"/>
    </xf>
    <xf numFmtId="167" fontId="0" fillId="0" borderId="2" applyAlignment="1" pivotButton="0" quotePrefix="0" xfId="0">
      <alignment vertical="center"/>
    </xf>
    <xf numFmtId="0" fontId="0" fillId="5" borderId="2" applyAlignment="1" pivotButton="0" quotePrefix="0" xfId="0">
      <alignment vertical="center"/>
    </xf>
    <xf numFmtId="3" fontId="0" fillId="5" borderId="2" applyAlignment="1" pivotButton="0" quotePrefix="0" xfId="0">
      <alignment vertical="center"/>
    </xf>
    <xf numFmtId="166" fontId="0" fillId="5" borderId="2" applyAlignment="1" pivotButton="0" quotePrefix="0" xfId="0">
      <alignment vertical="center"/>
    </xf>
    <xf numFmtId="167" fontId="0" fillId="5" borderId="2" applyAlignment="1" pivotButton="0" quotePrefix="0" xfId="0">
      <alignment vertical="center"/>
    </xf>
    <xf numFmtId="165" fontId="0" fillId="0" borderId="2" applyAlignment="1" pivotButton="0" quotePrefix="0" xfId="0">
      <alignment vertical="center"/>
    </xf>
    <xf numFmtId="165" fontId="0" fillId="5" borderId="2" applyAlignment="1" pivotButton="0" quotePrefix="0" xfId="0">
      <alignment vertical="center"/>
    </xf>
    <xf numFmtId="0" fontId="0" fillId="0" borderId="0" applyAlignment="1" pivotButton="0" quotePrefix="0" xfId="0">
      <alignment horizontal="general" vertical="bottom"/>
    </xf>
    <xf numFmtId="0" fontId="13" fillId="6" borderId="2" applyAlignment="1" pivotButton="0" quotePrefix="0" xfId="0">
      <alignment vertical="center"/>
    </xf>
    <xf numFmtId="3" fontId="13" fillId="6" borderId="2" applyAlignment="1" pivotButton="0" quotePrefix="0" xfId="0">
      <alignment vertical="center"/>
    </xf>
    <xf numFmtId="166" fontId="13" fillId="6" borderId="2" applyAlignment="1" pivotButton="0" quotePrefix="0" xfId="0">
      <alignment vertical="center"/>
    </xf>
    <xf numFmtId="167" fontId="13" fillId="6" borderId="2" applyAlignment="1" pivotButton="0" quotePrefix="0" xfId="0">
      <alignment vertical="center"/>
    </xf>
    <xf numFmtId="0" fontId="0" fillId="0" borderId="0" applyAlignment="1" pivotButton="0" quotePrefix="0" xfId="0">
      <alignment vertical="top" wrapText="1"/>
    </xf>
    <xf numFmtId="0" fontId="13" fillId="6" borderId="0" applyAlignment="1" pivotButton="0" quotePrefix="0" xfId="0">
      <alignment vertical="top" wrapText="1"/>
    </xf>
    <xf numFmtId="0" fontId="13" fillId="4" borderId="2" applyAlignment="1" pivotButton="0" quotePrefix="0" xfId="0">
      <alignment vertical="top" wrapText="1"/>
    </xf>
    <xf numFmtId="0" fontId="0" fillId="5" borderId="0" applyAlignment="1" pivotButton="0" quotePrefix="0" xfId="0">
      <alignment vertical="top" wrapText="1"/>
    </xf>
    <xf numFmtId="0" fontId="0" fillId="0" borderId="3" pivotButton="0" quotePrefix="0" xfId="0"/>
    <xf numFmtId="0" fontId="15" fillId="9" borderId="0" applyAlignment="1" pivotButton="0" quotePrefix="0" xfId="0">
      <alignment horizontal="center" vertical="center" wrapText="1"/>
    </xf>
    <xf numFmtId="0" fontId="15" fillId="9" borderId="0" applyAlignment="1" pivotButton="0" quotePrefix="0" xfId="0">
      <alignment vertical="center" wrapText="1"/>
    </xf>
    <xf numFmtId="0" fontId="13" fillId="4" borderId="4" applyAlignment="1" pivotButton="0" quotePrefix="0" xfId="0">
      <alignment vertical="top" wrapText="1"/>
    </xf>
    <xf numFmtId="0" fontId="13" fillId="4" borderId="2" applyAlignment="1" pivotButton="0" quotePrefix="0" xfId="0">
      <alignment horizontal="center" vertical="center" wrapText="1"/>
    </xf>
    <xf numFmtId="0" fontId="0" fillId="0" borderId="2" applyAlignment="1" pivotButton="0" quotePrefix="0" xfId="0">
      <alignment horizontal="center" vertical="center"/>
    </xf>
    <xf numFmtId="3" fontId="0" fillId="0" borderId="2" applyAlignment="1" pivotButton="0" quotePrefix="0" xfId="0">
      <alignment horizontal="right" vertical="center"/>
    </xf>
    <xf numFmtId="166" fontId="0" fillId="0" borderId="2" applyAlignment="1" pivotButton="0" quotePrefix="0" xfId="0">
      <alignment horizontal="right" vertical="center"/>
    </xf>
    <xf numFmtId="168" fontId="0" fillId="0" borderId="2" applyAlignment="1" pivotButton="0" quotePrefix="0" xfId="0">
      <alignment horizontal="right" vertical="center"/>
    </xf>
    <xf numFmtId="167" fontId="0" fillId="0" borderId="2" applyAlignment="1" pivotButton="0" quotePrefix="0" xfId="0">
      <alignment horizontal="right" vertical="center"/>
    </xf>
    <xf numFmtId="0" fontId="0" fillId="5" borderId="2" applyAlignment="1" pivotButton="0" quotePrefix="0" xfId="0">
      <alignment horizontal="center" vertical="center"/>
    </xf>
    <xf numFmtId="3" fontId="0" fillId="5" borderId="2" applyAlignment="1" pivotButton="0" quotePrefix="0" xfId="0">
      <alignment horizontal="right" vertical="center"/>
    </xf>
    <xf numFmtId="166" fontId="0" fillId="5" borderId="2" applyAlignment="1" pivotButton="0" quotePrefix="0" xfId="0">
      <alignment horizontal="right" vertical="center"/>
    </xf>
    <xf numFmtId="168" fontId="0" fillId="5" borderId="2" applyAlignment="1" pivotButton="0" quotePrefix="0" xfId="0">
      <alignment horizontal="right" vertical="center"/>
    </xf>
    <xf numFmtId="167" fontId="0" fillId="5" borderId="2" applyAlignment="1" pivotButton="0" quotePrefix="0" xfId="0">
      <alignment horizontal="right" vertical="center"/>
    </xf>
    <xf numFmtId="0" fontId="0" fillId="9" borderId="2" applyAlignment="1" pivotButton="0" quotePrefix="0" xfId="0">
      <alignment horizontal="center" vertical="center"/>
    </xf>
    <xf numFmtId="3" fontId="0" fillId="9" borderId="2" applyAlignment="1" pivotButton="0" quotePrefix="0" xfId="0">
      <alignment horizontal="right" vertical="center"/>
    </xf>
    <xf numFmtId="166" fontId="0" fillId="9" borderId="2" applyAlignment="1" pivotButton="0" quotePrefix="0" xfId="0">
      <alignment horizontal="right" vertical="center"/>
    </xf>
    <xf numFmtId="168" fontId="0" fillId="9" borderId="2" applyAlignment="1" pivotButton="0" quotePrefix="0" xfId="0">
      <alignment horizontal="right" vertical="center"/>
    </xf>
    <xf numFmtId="167" fontId="0" fillId="9" borderId="2" applyAlignment="1" pivotButton="0" quotePrefix="0" xfId="0">
      <alignment horizontal="right" vertical="center"/>
    </xf>
    <xf numFmtId="0" fontId="13" fillId="6" borderId="0" pivotButton="0" quotePrefix="0" xfId="0"/>
    <xf numFmtId="0" fontId="0" fillId="0" borderId="0"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Tires Sold by Year</a:t>
            </a:r>
          </a:p>
        </rich>
      </tx>
    </title>
    <plotArea>
      <lineChart>
        <grouping val="standard"/>
        <ser>
          <idx val="0"/>
          <order val="0"/>
          <tx>
            <strRef>
              <f>'Executive Analysis'!B18</f>
            </strRef>
          </tx>
          <spPr>
            <a:ln>
              <a:prstDash val="solid"/>
            </a:ln>
          </spPr>
          <marker>
            <symbol val="none"/>
            <spPr>
              <a:ln>
                <a:prstDash val="solid"/>
              </a:ln>
            </spPr>
          </marker>
          <cat>
            <numRef>
              <f>'Executive Analysis'!$A$19:$A$21</f>
            </numRef>
          </cat>
          <val>
            <numRef>
              <f>'Executive Analysis'!$B$19:$B$21</f>
            </numRef>
          </val>
        </ser>
        <axId val="10"/>
        <axId val="100"/>
      </line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Tires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Share by Category</a:t>
            </a:r>
          </a:p>
        </rich>
      </tx>
    </title>
    <plotArea>
      <barChart>
        <barDir val="bar"/>
        <grouping val="clustered"/>
        <ser>
          <idx val="0"/>
          <order val="0"/>
          <tx>
            <strRef>
              <f>'Executive Analysis'!E25</f>
            </strRef>
          </tx>
          <spPr>
            <a:ln>
              <a:prstDash val="solid"/>
            </a:ln>
          </spPr>
          <cat>
            <numRef>
              <f>'Executive Analysis'!$A$26:$A$29</f>
            </numRef>
          </cat>
          <val>
            <numRef>
              <f>'Executive Analysis'!$E$26:$E$29</f>
            </numRef>
          </val>
        </ser>
        <gapWidth val="150"/>
        <axId val="10"/>
        <axId val="100"/>
      </barChart>
      <catAx>
        <axId val="10"/>
        <scaling>
          <orientation val="minMax"/>
        </scaling>
        <axPos val="l"/>
        <title>
          <tx>
            <rich>
              <a:bodyPr/>
              <a:p>
                <a:pPr>
                  <a:defRPr/>
                </a:pPr>
                <a:r>
                  <a:t>Revenue Share</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16</row>
      <rowOff>0</rowOff>
    </from>
    <ext cx="4140000" cy="2232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28</row>
      <rowOff>0</rowOff>
    </from>
    <ext cx="4140000" cy="252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RawTireSales" displayName="tblRawTireSales" ref="A4:F16" headerRowCount="1">
  <autoFilter ref="A4:F16"/>
  <tableColumns count="6">
    <tableColumn id="1" name="Record ID"/>
    <tableColumn id="2" name="Year"/>
    <tableColumn id="3" name="Category"/>
    <tableColumn id="4" name="Tires Sold"/>
    <tableColumn id="5" name="Net Sales (₱)"/>
    <tableColumn id="6" name="Avg Net Sales / Tire (₱)"/>
  </tableColumns>
  <tableStyleInfo name="TableStyleMedium2" showFirstColumn="0" showLastColumn="0" showRowStripes="1"/>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00A6A6"/>
    <outlinePr summaryBelow="1" summaryRight="1"/>
    <pageSetUpPr fitToPage="1"/>
  </sheetPr>
  <dimension ref="A1:L29"/>
  <sheetViews>
    <sheetView showGridLines="0" workbookViewId="0">
      <pane ySplit="3" topLeftCell="A4" activePane="bottomLeft" state="frozen"/>
      <selection pane="bottomLeft" activeCell="A1" sqref="A1"/>
    </sheetView>
  </sheetViews>
  <sheetFormatPr baseColWidth="8" defaultRowHeight="15"/>
  <cols>
    <col width="18" customWidth="1" style="19" min="1" max="1"/>
    <col width="18" customWidth="1" style="19" min="2" max="2"/>
    <col width="16" customWidth="1" style="19" min="3" max="3"/>
    <col width="22" customWidth="1" style="19" min="4" max="4"/>
    <col width="17" customWidth="1" style="19" min="5" max="5"/>
    <col width="19" customWidth="1" style="19" min="6" max="6"/>
    <col width="14" customWidth="1" style="19" min="7" max="7"/>
    <col width="14" customWidth="1" style="19" min="8" max="8"/>
    <col width="14" customWidth="1" style="19" min="9" max="9"/>
    <col width="14" customWidth="1" style="19" min="10" max="10"/>
    <col width="14" customWidth="1" style="19" min="11" max="11"/>
    <col width="14" customWidth="1" style="19" min="12" max="12"/>
  </cols>
  <sheetData>
    <row r="1" ht="34" customHeight="1" s="19">
      <c r="A1" s="20" t="inlineStr">
        <is>
          <t>Tire Sales Executive Analysis | 2024–2026</t>
        </is>
      </c>
    </row>
    <row r="2" ht="28" customHeight="1" s="19">
      <c r="A2" s="21" t="inlineStr">
        <is>
          <t>Fulfilled-sales view of volume, net sales, realized price, and category mix.</t>
        </is>
      </c>
    </row>
    <row r="3" ht="30" customHeight="1" s="19">
      <c r="A3" s="50" t="inlineStr">
        <is>
          <t>REPORTING COVERAGE: 2024 and 2025 are complete January–December periods (12 months each). 2026 covers January–August only (8 months), with September–December (4 months) remaining. Therefore, 2026 totals are not directly comparable with the two complete full years.</t>
        </is>
      </c>
    </row>
    <row r="4">
      <c r="A4" s="22" t="inlineStr">
        <is>
          <t>3-Year Tires Sold</t>
        </is>
      </c>
      <c r="E4" s="22" t="inlineStr">
        <is>
          <t>3-Year Net Sales</t>
        </is>
      </c>
      <c r="I4" s="22" t="inlineStr">
        <is>
          <t>Weighted Avg ₱/Tire</t>
        </is>
      </c>
    </row>
    <row r="5">
      <c r="A5" s="23" t="n">
        <v>33661</v>
      </c>
      <c r="E5" s="24" t="n">
        <v>187957820.25</v>
      </c>
      <c r="I5" s="24" t="n">
        <v>5583.845407147738</v>
      </c>
    </row>
    <row r="7">
      <c r="A7" s="22" t="inlineStr">
        <is>
          <t>2024–26 Volume CAGR</t>
        </is>
      </c>
      <c r="E7" s="22" t="inlineStr">
        <is>
          <t>2024–26 Sales CAGR</t>
        </is>
      </c>
      <c r="I7" s="22" t="inlineStr">
        <is>
          <t>Premium Revenue Share</t>
        </is>
      </c>
    </row>
    <row r="8">
      <c r="A8" s="25" t="n">
        <v>0.08910060226091265</v>
      </c>
      <c r="E8" s="25" t="n">
        <v>0.1256174002998378</v>
      </c>
      <c r="I8" s="25" t="n">
        <v>0.6493769379090254</v>
      </c>
    </row>
    <row r="10">
      <c r="A10" s="26" t="inlineStr">
        <is>
          <t>Key Findings</t>
        </is>
      </c>
    </row>
    <row r="11" ht="28" customHeight="1" s="19">
      <c r="A11" s="27" t="inlineStr">
        <is>
          <t>• 2025 was the peak year: 13,566 tires and ₱75,125,404.25; volume rose 47.6% versus 2024.</t>
        </is>
      </c>
    </row>
    <row r="12" ht="28" customHeight="1" s="19">
      <c r="A12" s="28" t="inlineStr">
        <is>
          <t>• 2024 and 2025 contain complete January–December results. The 2026 figures currently contain January–August only, so the apparent difference versus full-year 2025 is a partial-period comparison, not a final annual decline.</t>
        </is>
      </c>
    </row>
    <row r="13" ht="28" customHeight="1" s="19">
      <c r="A13" s="27" t="inlineStr">
        <is>
          <t>• Premium contributed 64.9% of revenue and 47.9% of tires across the period, making it the main value driver.</t>
        </is>
      </c>
    </row>
    <row r="14" ht="28" customHeight="1" s="19">
      <c r="A14" s="28" t="inlineStr">
        <is>
          <t>• Budget was the second-largest volume tier at 11,305 tires (33.6%), but only 18.6% of revenue because of its lower realized price.</t>
        </is>
      </c>
    </row>
    <row r="15" ht="28" customHeight="1" s="19">
      <c r="A15" s="27" t="inlineStr">
        <is>
          <t>• Economy expanded from 126 tires in 2024 to 276 in 2026, but remained only 1.9% of three-year volume.</t>
        </is>
      </c>
    </row>
    <row r="17">
      <c r="A17" s="26" t="inlineStr">
        <is>
          <t>Annual Trend</t>
        </is>
      </c>
    </row>
    <row r="18">
      <c r="A18" s="29" t="inlineStr">
        <is>
          <t>Year</t>
        </is>
      </c>
      <c r="B18" s="29" t="inlineStr">
        <is>
          <t>Tires Sold</t>
        </is>
      </c>
      <c r="C18" s="29" t="inlineStr">
        <is>
          <t>Net Sales (₱)</t>
        </is>
      </c>
      <c r="D18" s="29" t="inlineStr">
        <is>
          <t>Avg ₱/Tire</t>
        </is>
      </c>
      <c r="E18" s="29" t="inlineStr">
        <is>
          <t>YoY Volume</t>
        </is>
      </c>
      <c r="F18" s="29" t="inlineStr">
        <is>
          <t>YoY Sales</t>
        </is>
      </c>
    </row>
    <row r="19">
      <c r="A19" s="30" t="n">
        <v>2024</v>
      </c>
      <c r="B19" s="31" t="n">
        <v>9192</v>
      </c>
      <c r="C19" s="32" t="n">
        <v>49771368.65</v>
      </c>
      <c r="D19" s="32" t="n">
        <v>5414.639757397737</v>
      </c>
      <c r="E19" s="33" t="inlineStr">
        <is>
          <t>—</t>
        </is>
      </c>
      <c r="F19" s="33" t="inlineStr">
        <is>
          <t>—</t>
        </is>
      </c>
    </row>
    <row r="20">
      <c r="A20" s="34" t="n">
        <v>2025</v>
      </c>
      <c r="B20" s="35" t="n">
        <v>13566</v>
      </c>
      <c r="C20" s="36" t="n">
        <v>75125404.25</v>
      </c>
      <c r="D20" s="36" t="n">
        <v>5537.771211116025</v>
      </c>
      <c r="E20" s="37" t="n">
        <v>0.4758485639686685</v>
      </c>
      <c r="F20" s="37" t="n">
        <v>0.5094100541677591</v>
      </c>
    </row>
    <row r="21">
      <c r="A21" s="30" t="n">
        <v>2026</v>
      </c>
      <c r="B21" s="31" t="n">
        <v>10903</v>
      </c>
      <c r="C21" s="32" t="n">
        <v>63061047.35</v>
      </c>
      <c r="D21" s="32" t="n">
        <v>5783.825309547831</v>
      </c>
      <c r="E21" s="33" t="n">
        <v>-0.1962995724605632</v>
      </c>
      <c r="F21" s="33" t="n">
        <v>-0.1605895771269676</v>
      </c>
    </row>
    <row r="24">
      <c r="A24" s="26" t="inlineStr">
        <is>
          <t>Three-Year Category Mix</t>
        </is>
      </c>
    </row>
    <row r="25">
      <c r="A25" s="29" t="inlineStr">
        <is>
          <t>Category</t>
        </is>
      </c>
      <c r="B25" s="29" t="inlineStr">
        <is>
          <t>Tires Sold</t>
        </is>
      </c>
      <c r="C25" s="29" t="inlineStr">
        <is>
          <t>Volume Share</t>
        </is>
      </c>
      <c r="D25" s="29" t="inlineStr">
        <is>
          <t>Net Sales (₱)</t>
        </is>
      </c>
      <c r="E25" s="29" t="inlineStr">
        <is>
          <t>Revenue Share</t>
        </is>
      </c>
      <c r="F25" s="29" t="inlineStr">
        <is>
          <t>Avg ₱/Tire</t>
        </is>
      </c>
    </row>
    <row r="26">
      <c r="A26" s="30" t="inlineStr">
        <is>
          <t>Premium</t>
        </is>
      </c>
      <c r="B26" s="31" t="n">
        <v>16124</v>
      </c>
      <c r="C26" s="38" t="n">
        <v>0.4790113187368171</v>
      </c>
      <c r="D26" s="32" t="n">
        <v>122055473.77</v>
      </c>
      <c r="E26" s="38" t="n">
        <v>0.6493769379090254</v>
      </c>
      <c r="F26" s="32" t="n">
        <v>7569.801151699331</v>
      </c>
    </row>
    <row r="27">
      <c r="A27" s="34" t="inlineStr">
        <is>
          <t>Mid Range</t>
        </is>
      </c>
      <c r="B27" s="35" t="n">
        <v>5586</v>
      </c>
      <c r="C27" s="39" t="n">
        <v>0.1659487240426606</v>
      </c>
      <c r="D27" s="36" t="n">
        <v>28087015.97</v>
      </c>
      <c r="E27" s="39" t="n">
        <v>0.1494325478590987</v>
      </c>
      <c r="F27" s="36" t="n">
        <v>5028.108838166846</v>
      </c>
    </row>
    <row r="28">
      <c r="A28" s="30" t="inlineStr">
        <is>
          <t>Budget</t>
        </is>
      </c>
      <c r="B28" s="31" t="n">
        <v>11305</v>
      </c>
      <c r="C28" s="38" t="n">
        <v>0.3358486081815751</v>
      </c>
      <c r="D28" s="32" t="n">
        <v>34980066.63</v>
      </c>
      <c r="E28" s="38" t="n">
        <v>0.1861059389998964</v>
      </c>
      <c r="F28" s="32" t="n">
        <v>3094.211997346306</v>
      </c>
    </row>
    <row r="29">
      <c r="A29" s="34" t="inlineStr">
        <is>
          <t>Economy</t>
        </is>
      </c>
      <c r="B29" s="35" t="n">
        <v>646</v>
      </c>
      <c r="C29" s="39" t="n">
        <v>0.01919134903894715</v>
      </c>
      <c r="D29" s="36" t="n">
        <v>2835263.88</v>
      </c>
      <c r="E29" s="39" t="n">
        <v>0.01508457523197947</v>
      </c>
      <c r="F29" s="36" t="n">
        <v>4388.953374613003</v>
      </c>
    </row>
  </sheetData>
  <mergeCells count="23">
    <mergeCell ref="A3:L3"/>
    <mergeCell ref="A12:L12"/>
    <mergeCell ref="A2:L2"/>
    <mergeCell ref="A5:C5"/>
    <mergeCell ref="I5:K5"/>
    <mergeCell ref="A8:C8"/>
    <mergeCell ref="I8:K8"/>
    <mergeCell ref="A14:L14"/>
    <mergeCell ref="A17:F17"/>
    <mergeCell ref="I4:K4"/>
    <mergeCell ref="A4:C4"/>
    <mergeCell ref="E7:G7"/>
    <mergeCell ref="A10:L10"/>
    <mergeCell ref="A13:L13"/>
    <mergeCell ref="A24:F24"/>
    <mergeCell ref="A15:L15"/>
    <mergeCell ref="E5:G5"/>
    <mergeCell ref="A11:L11"/>
    <mergeCell ref="A1:L1"/>
    <mergeCell ref="E8:G8"/>
    <mergeCell ref="E4:G4"/>
    <mergeCell ref="A7:C7"/>
    <mergeCell ref="I7:K7"/>
  </mergeCells>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filterMode="0">
    <tabColor rgb="002F75B5"/>
    <outlinePr summaryBelow="1" summaryRight="1"/>
    <pageSetUpPr fitToPage="1"/>
  </sheetPr>
  <dimension ref="A1:J14"/>
  <sheetViews>
    <sheetView showFormulas="0" showGridLines="0" showRowColHeaders="1" showZeros="1" rightToLeft="0" tabSelected="1" showOutlineSymbols="1" defaultGridColor="1" view="normal" topLeftCell="A1" colorId="64" zoomScale="100" zoomScaleNormal="100" zoomScalePageLayoutView="100" workbookViewId="0">
      <pane ySplit="5" topLeftCell="A6"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0" customWidth="1" style="40" min="1" max="1"/>
    <col width="13" customWidth="1" style="40" min="2" max="2"/>
    <col width="10" customWidth="1" style="40" min="3" max="3"/>
    <col width="16" customWidth="1" style="40" min="4" max="4"/>
    <col width="15" customWidth="1" style="40" min="5" max="5"/>
    <col width="20" customWidth="1" style="19" min="6" max="6"/>
    <col width="16" customWidth="1" style="19" min="7" max="7"/>
    <col width="19" customWidth="1" style="40" min="8" max="11"/>
    <col width="24" customWidth="1" style="19" min="9" max="9"/>
    <col width="21" customWidth="1" style="19" min="10" max="10"/>
  </cols>
  <sheetData>
    <row r="1" ht="34" customHeight="1" s="19">
      <c r="A1" s="20" t="inlineStr">
        <is>
          <t>Tires Sold per Year — Gulong.ph</t>
        </is>
      </c>
    </row>
    <row r="2" ht="28" customHeight="1" s="19">
      <c r="A2" s="21" t="inlineStr">
        <is>
          <t>Fulfilled tire sales. Complete years and partial-year results are identified separately for fair interpretation.</t>
        </is>
      </c>
    </row>
    <row r="3" ht="30" customHeight="1" s="19">
      <c r="A3" s="50" t="inlineStr">
        <is>
          <t>Coverage: 2024 and 2025 are complete January–December (12 months). 2026 is January–August only (8 months), with September–December remaining.</t>
        </is>
      </c>
    </row>
    <row r="4" ht="15" customHeight="1" s="19"/>
    <row r="5" ht="32" customHeight="1" s="19">
      <c r="A5" s="53" t="inlineStr">
        <is>
          <t>Year</t>
        </is>
      </c>
      <c r="B5" s="53" t="inlineStr">
        <is>
          <t>Coverage</t>
        </is>
      </c>
      <c r="C5" s="53" t="inlineStr">
        <is>
          <t>Months</t>
        </is>
      </c>
      <c r="D5" s="53" t="inlineStr">
        <is>
          <t>Status</t>
        </is>
      </c>
      <c r="E5" s="53" t="inlineStr">
        <is>
          <t>Tires Sold</t>
        </is>
      </c>
      <c r="F5" s="53" t="inlineStr">
        <is>
          <t>Net Sales (₱)</t>
        </is>
      </c>
      <c r="G5" s="53" t="inlineStr">
        <is>
          <t>Avg ₱ / Tire</t>
        </is>
      </c>
      <c r="H5" s="53" t="inlineStr">
        <is>
          <t>Avg Tires / Month</t>
        </is>
      </c>
      <c r="I5" s="53" t="inlineStr">
        <is>
          <t>Avg Net Sales / Month</t>
        </is>
      </c>
      <c r="J5" s="53" t="inlineStr">
        <is>
          <t>Comparable YoY Tires</t>
        </is>
      </c>
    </row>
    <row r="6" ht="15" customHeight="1" s="19">
      <c r="A6" s="54" t="n">
        <v>2024</v>
      </c>
      <c r="B6" s="54" t="inlineStr">
        <is>
          <t>Jan–Dec</t>
        </is>
      </c>
      <c r="C6" s="54" t="n">
        <v>12</v>
      </c>
      <c r="D6" s="54" t="inlineStr">
        <is>
          <t>Complete year</t>
        </is>
      </c>
      <c r="E6" s="55" t="n">
        <v>9192</v>
      </c>
      <c r="F6" s="56" t="n">
        <v>49771368.65</v>
      </c>
      <c r="G6" s="56" t="n">
        <v>5414.639757397737</v>
      </c>
      <c r="H6" s="57" t="n">
        <v>766</v>
      </c>
      <c r="I6" s="56" t="n">
        <v>4147614.054166667</v>
      </c>
      <c r="J6" s="58" t="inlineStr">
        <is>
          <t>—</t>
        </is>
      </c>
    </row>
    <row r="7" ht="15" customHeight="1" s="19">
      <c r="A7" s="59" t="n">
        <v>2025</v>
      </c>
      <c r="B7" s="59" t="inlineStr">
        <is>
          <t>Jan–Dec</t>
        </is>
      </c>
      <c r="C7" s="59" t="n">
        <v>12</v>
      </c>
      <c r="D7" s="59" t="inlineStr">
        <is>
          <t>Complete year</t>
        </is>
      </c>
      <c r="E7" s="60" t="n">
        <v>13566</v>
      </c>
      <c r="F7" s="61" t="n">
        <v>75125404.25</v>
      </c>
      <c r="G7" s="61" t="n">
        <v>5537.771211116025</v>
      </c>
      <c r="H7" s="62" t="n">
        <v>1130.5</v>
      </c>
      <c r="I7" s="61" t="n">
        <v>6260450.354166667</v>
      </c>
      <c r="J7" s="63" t="n">
        <v>0.4758485639686685</v>
      </c>
    </row>
    <row r="8" ht="15" customHeight="1" s="19">
      <c r="A8" s="64" t="n">
        <v>2026</v>
      </c>
      <c r="B8" s="64" t="inlineStr">
        <is>
          <t>Jan–Aug</t>
        </is>
      </c>
      <c r="C8" s="64" t="n">
        <v>8</v>
      </c>
      <c r="D8" s="64" t="inlineStr">
        <is>
          <t>Partial year</t>
        </is>
      </c>
      <c r="E8" s="65" t="n">
        <v>10903</v>
      </c>
      <c r="F8" s="66" t="n">
        <v>63061047.35</v>
      </c>
      <c r="G8" s="66" t="n">
        <v>5783.825309547831</v>
      </c>
      <c r="H8" s="67" t="n">
        <v>1362.875</v>
      </c>
      <c r="I8" s="66" t="n">
        <v>7882630.91875</v>
      </c>
      <c r="J8" s="68" t="inlineStr">
        <is>
          <t>—</t>
        </is>
      </c>
    </row>
    <row r="9" ht="15" customHeight="1" s="19"/>
    <row r="10" ht="15" customHeight="1" s="19">
      <c r="A10" s="69" t="inlineStr">
        <is>
          <t>Interpretation</t>
        </is>
      </c>
    </row>
    <row r="11" ht="25" customHeight="1" s="19">
      <c r="A11" s="70" t="inlineStr">
        <is>
          <t>• 2025 versus 2024 is a valid full-year comparison because both periods contain 12 months.</t>
        </is>
      </c>
    </row>
    <row r="12" ht="25" customHeight="1" s="19">
      <c r="A12" s="28" t="inlineStr">
        <is>
          <t>• 2026 total tires and net sales should not be treated as a full-year decline because only January–August is included.</t>
        </is>
      </c>
    </row>
    <row r="13" ht="25" customHeight="1" s="19">
      <c r="A13" s="70" t="inlineStr">
        <is>
          <t>• Average-per-month figures normalize for the number of recorded months, but they are descriptive run rates—not forecasts for September–December.</t>
        </is>
      </c>
    </row>
    <row r="14" ht="25" customHeight="1" s="19">
      <c r="A14" s="28" t="inlineStr">
        <is>
          <t>• Net Sales retains the source definition/label “Net Sales of VAT.” All figures represent fulfilled sales.</t>
        </is>
      </c>
    </row>
    <row r="15" ht="15" customHeight="1" s="19"/>
  </sheetData>
  <autoFilter ref="A5:J8"/>
  <mergeCells count="8">
    <mergeCell ref="A1:J1"/>
    <mergeCell ref="A14:J14"/>
    <mergeCell ref="A3:J3"/>
    <mergeCell ref="A12:J12"/>
    <mergeCell ref="A2:J2"/>
    <mergeCell ref="A10:J10"/>
    <mergeCell ref="A13:J13"/>
    <mergeCell ref="A11:J11"/>
  </mergeCell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00F4B183"/>
    <outlinePr summaryBelow="1" summaryRight="1"/>
    <pageSetUpPr fitToPage="1"/>
  </sheetPr>
  <dimension ref="A1:H8"/>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8" customWidth="1" style="40" min="1" max="1"/>
    <col width="18" customWidth="1" style="40" min="2" max="2"/>
    <col width="18" customWidth="1" style="40" min="3" max="6"/>
    <col width="18" customWidth="1" style="19" min="4" max="4"/>
    <col width="18" customWidth="1" style="19" min="5" max="5"/>
    <col width="14" customWidth="1" style="19" min="6" max="6"/>
    <col width="24" customWidth="1" style="19" min="7" max="7"/>
    <col width="15" customWidth="1" style="19" min="8" max="8"/>
    <col width="11" customWidth="1" style="40" min="9" max="14"/>
  </cols>
  <sheetData>
    <row r="1" ht="34" customHeight="1" s="19">
      <c r="A1" s="20" t="inlineStr">
        <is>
          <t>Category Performance</t>
        </is>
      </c>
    </row>
    <row r="2" ht="28" customHeight="1" s="19">
      <c r="A2" s="21" t="inlineStr">
        <is>
          <t>Average selling price, tires sold, and net sales by category. 2024 and 2025 cover January–December; 2026 covers January–August, with four months remaining.</t>
        </is>
      </c>
    </row>
    <row r="4" ht="15" customHeight="1" s="19">
      <c r="A4" s="29" t="inlineStr">
        <is>
          <t>Category</t>
        </is>
      </c>
      <c r="B4" s="29" t="inlineStr">
        <is>
          <t>2024 Avg ₱/Tire</t>
        </is>
      </c>
      <c r="C4" s="29" t="inlineStr">
        <is>
          <t>2025 Avg ₱/Tire</t>
        </is>
      </c>
      <c r="D4" s="29" t="inlineStr">
        <is>
          <t>2026 Avg ₱/Tire</t>
        </is>
      </c>
      <c r="E4" s="29" t="inlineStr">
        <is>
          <t>3-Yr Avg ₱/Tire</t>
        </is>
      </c>
      <c r="F4" s="29" t="inlineStr">
        <is>
          <t>3-Yr Tires</t>
        </is>
      </c>
      <c r="G4" s="29" t="inlineStr">
        <is>
          <t>3-Yr Net Sales (₱)</t>
        </is>
      </c>
      <c r="H4" s="29" t="inlineStr">
        <is>
          <t>Revenue Share</t>
        </is>
      </c>
    </row>
    <row r="5" ht="15" customHeight="1" s="19">
      <c r="A5" s="30" t="inlineStr">
        <is>
          <t>Premium</t>
        </is>
      </c>
      <c r="B5" s="32">
        <f>SUMIFS('Raw Data'!$E$5:$E$16,'Raw Data'!$B$5:$B$16,2024,'Raw Data'!$C$5:$C$16,$A5)/SUMIFS('Raw Data'!$D$5:$D$16,'Raw Data'!$B$5:$B$16,2024,'Raw Data'!$C$5:$C$16,$A5)</f>
        <v/>
      </c>
      <c r="C5" s="32">
        <f>SUMIFS('Raw Data'!$E$5:$E$16,'Raw Data'!$B$5:$B$16,2025,'Raw Data'!$C$5:$C$16,$A5)/SUMIFS('Raw Data'!$D$5:$D$16,'Raw Data'!$B$5:$B$16,2025,'Raw Data'!$C$5:$C$16,$A5)</f>
        <v/>
      </c>
      <c r="D5" s="32">
        <f>SUMIFS('Raw Data'!$E$5:$E$16,'Raw Data'!$B$5:$B$16,2026,'Raw Data'!$C$5:$C$16,$A5)/SUMIFS('Raw Data'!$D$5:$D$16,'Raw Data'!$B$5:$B$16,2026,'Raw Data'!$C$5:$C$16,$A5)</f>
        <v/>
      </c>
      <c r="E5" s="32">
        <f>G5/F5</f>
        <v/>
      </c>
      <c r="F5" s="31">
        <f>SUMIF('Raw Data'!$C$5:$C$16,A5,'Raw Data'!$D$5:$D$16)</f>
        <v/>
      </c>
      <c r="G5" s="32">
        <f>SUMIF('Raw Data'!$C$5:$C$16,A5,'Raw Data'!$E$5:$E$16)</f>
        <v/>
      </c>
      <c r="H5" s="38">
        <f>G5/SUM($G$5:$G$8)</f>
        <v/>
      </c>
    </row>
    <row r="6" ht="15" customHeight="1" s="19">
      <c r="A6" s="34" t="inlineStr">
        <is>
          <t>Mid Range</t>
        </is>
      </c>
      <c r="B6" s="36">
        <f>SUMIFS('Raw Data'!$E$5:$E$16,'Raw Data'!$B$5:$B$16,2024,'Raw Data'!$C$5:$C$16,$A6)/SUMIFS('Raw Data'!$D$5:$D$16,'Raw Data'!$B$5:$B$16,2024,'Raw Data'!$C$5:$C$16,$A6)</f>
        <v/>
      </c>
      <c r="C6" s="36">
        <f>SUMIFS('Raw Data'!$E$5:$E$16,'Raw Data'!$B$5:$B$16,2025,'Raw Data'!$C$5:$C$16,$A6)/SUMIFS('Raw Data'!$D$5:$D$16,'Raw Data'!$B$5:$B$16,2025,'Raw Data'!$C$5:$C$16,$A6)</f>
        <v/>
      </c>
      <c r="D6" s="36">
        <f>SUMIFS('Raw Data'!$E$5:$E$16,'Raw Data'!$B$5:$B$16,2026,'Raw Data'!$C$5:$C$16,$A6)/SUMIFS('Raw Data'!$D$5:$D$16,'Raw Data'!$B$5:$B$16,2026,'Raw Data'!$C$5:$C$16,$A6)</f>
        <v/>
      </c>
      <c r="E6" s="36">
        <f>G6/F6</f>
        <v/>
      </c>
      <c r="F6" s="35">
        <f>SUMIF('Raw Data'!$C$5:$C$16,A6,'Raw Data'!$D$5:$D$16)</f>
        <v/>
      </c>
      <c r="G6" s="36">
        <f>SUMIF('Raw Data'!$C$5:$C$16,A6,'Raw Data'!$E$5:$E$16)</f>
        <v/>
      </c>
      <c r="H6" s="39">
        <f>G6/SUM($G$5:$G$8)</f>
        <v/>
      </c>
    </row>
    <row r="7" ht="15" customHeight="1" s="19">
      <c r="A7" s="30" t="inlineStr">
        <is>
          <t>Budget</t>
        </is>
      </c>
      <c r="B7" s="32">
        <f>SUMIFS('Raw Data'!$E$5:$E$16,'Raw Data'!$B$5:$B$16,2024,'Raw Data'!$C$5:$C$16,$A7)/SUMIFS('Raw Data'!$D$5:$D$16,'Raw Data'!$B$5:$B$16,2024,'Raw Data'!$C$5:$C$16,$A7)</f>
        <v/>
      </c>
      <c r="C7" s="32">
        <f>SUMIFS('Raw Data'!$E$5:$E$16,'Raw Data'!$B$5:$B$16,2025,'Raw Data'!$C$5:$C$16,$A7)/SUMIFS('Raw Data'!$D$5:$D$16,'Raw Data'!$B$5:$B$16,2025,'Raw Data'!$C$5:$C$16,$A7)</f>
        <v/>
      </c>
      <c r="D7" s="32">
        <f>SUMIFS('Raw Data'!$E$5:$E$16,'Raw Data'!$B$5:$B$16,2026,'Raw Data'!$C$5:$C$16,$A7)/SUMIFS('Raw Data'!$D$5:$D$16,'Raw Data'!$B$5:$B$16,2026,'Raw Data'!$C$5:$C$16,$A7)</f>
        <v/>
      </c>
      <c r="E7" s="32">
        <f>G7/F7</f>
        <v/>
      </c>
      <c r="F7" s="31">
        <f>SUMIF('Raw Data'!$C$5:$C$16,A7,'Raw Data'!$D$5:$D$16)</f>
        <v/>
      </c>
      <c r="G7" s="32">
        <f>SUMIF('Raw Data'!$C$5:$C$16,A7,'Raw Data'!$E$5:$E$16)</f>
        <v/>
      </c>
      <c r="H7" s="38">
        <f>G7/SUM($G$5:$G$8)</f>
        <v/>
      </c>
    </row>
    <row r="8" ht="15" customHeight="1" s="19">
      <c r="A8" s="34" t="inlineStr">
        <is>
          <t>Economy</t>
        </is>
      </c>
      <c r="B8" s="36">
        <f>SUMIFS('Raw Data'!$E$5:$E$16,'Raw Data'!$B$5:$B$16,2024,'Raw Data'!$C$5:$C$16,$A8)/SUMIFS('Raw Data'!$D$5:$D$16,'Raw Data'!$B$5:$B$16,2024,'Raw Data'!$C$5:$C$16,$A8)</f>
        <v/>
      </c>
      <c r="C8" s="36">
        <f>SUMIFS('Raw Data'!$E$5:$E$16,'Raw Data'!$B$5:$B$16,2025,'Raw Data'!$C$5:$C$16,$A8)/SUMIFS('Raw Data'!$D$5:$D$16,'Raw Data'!$B$5:$B$16,2025,'Raw Data'!$C$5:$C$16,$A8)</f>
        <v/>
      </c>
      <c r="D8" s="36">
        <f>SUMIFS('Raw Data'!$E$5:$E$16,'Raw Data'!$B$5:$B$16,2026,'Raw Data'!$C$5:$C$16,$A8)/SUMIFS('Raw Data'!$D$5:$D$16,'Raw Data'!$B$5:$B$16,2026,'Raw Data'!$C$5:$C$16,$A8)</f>
        <v/>
      </c>
      <c r="E8" s="36">
        <f>G8/F8</f>
        <v/>
      </c>
      <c r="F8" s="35">
        <f>SUMIF('Raw Data'!$C$5:$C$16,A8,'Raw Data'!$D$5:$D$16)</f>
        <v/>
      </c>
      <c r="G8" s="36">
        <f>SUMIF('Raw Data'!$C$5:$C$16,A8,'Raw Data'!$E$5:$E$16)</f>
        <v/>
      </c>
      <c r="H8" s="39">
        <f>G8/SUM($G$5:$G$8)</f>
        <v/>
      </c>
    </row>
    <row r="10" ht="15" customHeight="1" s="19"/>
    <row r="11" ht="15" customHeight="1" s="19"/>
    <row r="12" ht="15" customHeight="1" s="19"/>
    <row r="13" ht="15" customHeight="1" s="19"/>
    <row r="14" ht="15" customHeight="1" s="19"/>
    <row r="15" ht="15" customHeight="1" s="19"/>
    <row r="16" ht="15" customHeight="1" s="19"/>
    <row r="17" ht="15" customHeight="1" s="19"/>
    <row r="18" ht="15" customHeight="1" s="19"/>
    <row r="19" ht="15" customHeight="1" s="19"/>
    <row r="21" ht="15" customHeight="1" s="19"/>
  </sheetData>
  <mergeCells count="2">
    <mergeCell ref="A2:H2"/>
    <mergeCell ref="A1:H1"/>
  </mergeCells>
  <conditionalFormatting sqref="H5:H8">
    <cfRule type="colorScale" priority="1">
      <colorScale>
        <cfvo type="min"/>
        <cfvo type="max"/>
        <color rgb="00FCE4D6"/>
        <color rgb="0070AD47"/>
      </colorScale>
    </cfRule>
  </conditionalFormatting>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4.xml><?xml version="1.0" encoding="utf-8"?>
<worksheet xmlns="http://schemas.openxmlformats.org/spreadsheetml/2006/main">
  <sheetPr>
    <tabColor rgb="0070AD47"/>
    <outlinePr summaryBelow="1" summaryRight="1"/>
    <pageSetUpPr fitToPage="1"/>
  </sheetPr>
  <dimension ref="A1:F16"/>
  <sheetViews>
    <sheetView showGridLines="0" workbookViewId="0">
      <pane ySplit="4" topLeftCell="A5" activePane="bottomLeft" state="frozen"/>
      <selection pane="bottomLeft" activeCell="A1" sqref="A1"/>
    </sheetView>
  </sheetViews>
  <sheetFormatPr baseColWidth="8" defaultRowHeight="15"/>
  <cols>
    <col width="24" customWidth="1" style="19" min="1" max="1"/>
    <col width="11" customWidth="1" style="19" min="2" max="2"/>
    <col width="18" customWidth="1" style="19" min="3" max="3"/>
    <col width="14" customWidth="1" style="19" min="4" max="4"/>
    <col width="21" customWidth="1" style="19" min="5" max="5"/>
    <col width="27" customWidth="1" style="19" min="6" max="6"/>
  </cols>
  <sheetData>
    <row r="1" ht="34" customHeight="1" s="19">
      <c r="A1" s="20" t="inlineStr">
        <is>
          <t>Raw Data — Fulfilled Tire Sales</t>
        </is>
      </c>
    </row>
    <row r="2" ht="28" customHeight="1" s="19">
      <c r="A2" s="21" t="inlineStr">
        <is>
          <t>Normalized category-year records. 2024 and 2025 are complete January–December periods; 2026 covers January–August only, with September–December remaining.</t>
        </is>
      </c>
    </row>
    <row r="4">
      <c r="A4" s="29" t="inlineStr">
        <is>
          <t>Record ID</t>
        </is>
      </c>
      <c r="B4" s="29" t="inlineStr">
        <is>
          <t>Year</t>
        </is>
      </c>
      <c r="C4" s="29" t="inlineStr">
        <is>
          <t>Category</t>
        </is>
      </c>
      <c r="D4" s="29" t="inlineStr">
        <is>
          <t>Tires Sold</t>
        </is>
      </c>
      <c r="E4" s="29" t="inlineStr">
        <is>
          <t>Net Sales (₱)</t>
        </is>
      </c>
      <c r="F4" s="29" t="inlineStr">
        <is>
          <t>Avg Net Sales / Tire (₱)</t>
        </is>
      </c>
    </row>
    <row r="5">
      <c r="A5" s="30" t="inlineStr">
        <is>
          <t>2024-PREMIUM</t>
        </is>
      </c>
      <c r="B5" s="30" t="n">
        <v>2024</v>
      </c>
      <c r="C5" s="30" t="inlineStr">
        <is>
          <t>Premium</t>
        </is>
      </c>
      <c r="D5" s="31" t="n">
        <v>5194</v>
      </c>
      <c r="E5" s="32" t="n">
        <v>35201434.56</v>
      </c>
      <c r="F5" s="32">
        <f>E5/D5</f>
        <v/>
      </c>
    </row>
    <row r="6">
      <c r="A6" s="34" t="inlineStr">
        <is>
          <t>2024-MID_RANGE</t>
        </is>
      </c>
      <c r="B6" s="34" t="n">
        <v>2024</v>
      </c>
      <c r="C6" s="34" t="inlineStr">
        <is>
          <t>Mid Range</t>
        </is>
      </c>
      <c r="D6" s="35" t="n">
        <v>852</v>
      </c>
      <c r="E6" s="36" t="n">
        <v>4669559.3</v>
      </c>
      <c r="F6" s="36">
        <f>E6/D6</f>
        <v/>
      </c>
    </row>
    <row r="7">
      <c r="A7" s="30" t="inlineStr">
        <is>
          <t>2024-BUDGET</t>
        </is>
      </c>
      <c r="B7" s="30" t="n">
        <v>2024</v>
      </c>
      <c r="C7" s="30" t="inlineStr">
        <is>
          <t>Budget</t>
        </is>
      </c>
      <c r="D7" s="31" t="n">
        <v>3020</v>
      </c>
      <c r="E7" s="32" t="n">
        <v>9449930.109999999</v>
      </c>
      <c r="F7" s="32">
        <f>E7/D7</f>
        <v/>
      </c>
    </row>
    <row r="8">
      <c r="A8" s="34" t="inlineStr">
        <is>
          <t>2024-ECONOMY</t>
        </is>
      </c>
      <c r="B8" s="34" t="n">
        <v>2024</v>
      </c>
      <c r="C8" s="34" t="inlineStr">
        <is>
          <t>Economy</t>
        </is>
      </c>
      <c r="D8" s="35" t="n">
        <v>126</v>
      </c>
      <c r="E8" s="36" t="n">
        <v>450444.68</v>
      </c>
      <c r="F8" s="36">
        <f>E8/D8</f>
        <v/>
      </c>
    </row>
    <row r="9">
      <c r="A9" s="30" t="inlineStr">
        <is>
          <t>2025-PREMIUM</t>
        </is>
      </c>
      <c r="B9" s="30" t="n">
        <v>2025</v>
      </c>
      <c r="C9" s="30" t="inlineStr">
        <is>
          <t>Premium</t>
        </is>
      </c>
      <c r="D9" s="31" t="n">
        <v>5957</v>
      </c>
      <c r="E9" s="32" t="n">
        <v>46635442.5</v>
      </c>
      <c r="F9" s="32">
        <f>E9/D9</f>
        <v/>
      </c>
    </row>
    <row r="10">
      <c r="A10" s="34" t="inlineStr">
        <is>
          <t>2025-MID_RANGE</t>
        </is>
      </c>
      <c r="B10" s="34" t="n">
        <v>2025</v>
      </c>
      <c r="C10" s="34" t="inlineStr">
        <is>
          <t>Mid Range</t>
        </is>
      </c>
      <c r="D10" s="35" t="n">
        <v>2480</v>
      </c>
      <c r="E10" s="36" t="n">
        <v>12239378.71</v>
      </c>
      <c r="F10" s="36">
        <f>E10/D10</f>
        <v/>
      </c>
    </row>
    <row r="11">
      <c r="A11" s="30" t="inlineStr">
        <is>
          <t>2025-BUDGET</t>
        </is>
      </c>
      <c r="B11" s="30" t="n">
        <v>2025</v>
      </c>
      <c r="C11" s="30" t="inlineStr">
        <is>
          <t>Budget</t>
        </is>
      </c>
      <c r="D11" s="31" t="n">
        <v>4885</v>
      </c>
      <c r="E11" s="32" t="n">
        <v>15025052.19</v>
      </c>
      <c r="F11" s="32">
        <f>E11/D11</f>
        <v/>
      </c>
    </row>
    <row r="12">
      <c r="A12" s="34" t="inlineStr">
        <is>
          <t>2025-ECONOMY</t>
        </is>
      </c>
      <c r="B12" s="34" t="n">
        <v>2025</v>
      </c>
      <c r="C12" s="34" t="inlineStr">
        <is>
          <t>Economy</t>
        </is>
      </c>
      <c r="D12" s="35" t="n">
        <v>244</v>
      </c>
      <c r="E12" s="36" t="n">
        <v>1225530.85</v>
      </c>
      <c r="F12" s="36">
        <f>E12/D12</f>
        <v/>
      </c>
    </row>
    <row r="13">
      <c r="A13" s="30" t="inlineStr">
        <is>
          <t>2026-PREMIUM</t>
        </is>
      </c>
      <c r="B13" s="30" t="n">
        <v>2026</v>
      </c>
      <c r="C13" s="30" t="inlineStr">
        <is>
          <t>Premium</t>
        </is>
      </c>
      <c r="D13" s="31" t="n">
        <v>4973</v>
      </c>
      <c r="E13" s="32" t="n">
        <v>40218596.71</v>
      </c>
      <c r="F13" s="32">
        <f>E13/D13</f>
        <v/>
      </c>
    </row>
    <row r="14">
      <c r="A14" s="34" t="inlineStr">
        <is>
          <t>2026-MID_RANGE</t>
        </is>
      </c>
      <c r="B14" s="34" t="n">
        <v>2026</v>
      </c>
      <c r="C14" s="34" t="inlineStr">
        <is>
          <t>Mid Range</t>
        </is>
      </c>
      <c r="D14" s="35" t="n">
        <v>2254</v>
      </c>
      <c r="E14" s="36" t="n">
        <v>11178077.96</v>
      </c>
      <c r="F14" s="36">
        <f>E14/D14</f>
        <v/>
      </c>
    </row>
    <row r="15">
      <c r="A15" s="30" t="inlineStr">
        <is>
          <t>2026-BUDGET</t>
        </is>
      </c>
      <c r="B15" s="30" t="n">
        <v>2026</v>
      </c>
      <c r="C15" s="30" t="inlineStr">
        <is>
          <t>Budget</t>
        </is>
      </c>
      <c r="D15" s="31" t="n">
        <v>3400</v>
      </c>
      <c r="E15" s="32" t="n">
        <v>10505084.33</v>
      </c>
      <c r="F15" s="32">
        <f>E15/D15</f>
        <v/>
      </c>
    </row>
    <row r="16">
      <c r="A16" s="34" t="inlineStr">
        <is>
          <t>2026-ECONOMY</t>
        </is>
      </c>
      <c r="B16" s="34" t="n">
        <v>2026</v>
      </c>
      <c r="C16" s="34" t="inlineStr">
        <is>
          <t>Economy</t>
        </is>
      </c>
      <c r="D16" s="35" t="n">
        <v>276</v>
      </c>
      <c r="E16" s="36" t="n">
        <v>1159288.35</v>
      </c>
      <c r="F16" s="36">
        <f>E16/D16</f>
        <v/>
      </c>
    </row>
  </sheetData>
  <autoFilter ref="A4:F16"/>
  <mergeCells count="2">
    <mergeCell ref="A2:F2"/>
    <mergeCell ref="A1:F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667085"/>
    <outlinePr summaryBelow="1" summaryRight="1"/>
    <pageSetUpPr fitToPage="1"/>
  </sheetPr>
  <dimension ref="A1:G32"/>
  <sheetViews>
    <sheetView showGridLines="0" workbookViewId="0">
      <pane ySplit="3" topLeftCell="A4" activePane="bottomLeft" state="frozen"/>
      <selection pane="bottomLeft" activeCell="A1" sqref="A1"/>
    </sheetView>
  </sheetViews>
  <sheetFormatPr baseColWidth="8" defaultRowHeight="15"/>
  <cols>
    <col width="22" customWidth="1" style="19" min="1" max="1"/>
    <col width="31" customWidth="1" style="19" min="2" max="2"/>
    <col width="30" customWidth="1" style="19" min="3" max="3"/>
    <col width="18" customWidth="1" style="19" min="4" max="4"/>
    <col width="18" customWidth="1" style="19" min="5" max="5"/>
    <col width="18" customWidth="1" style="19" min="6" max="6"/>
    <col width="18" customWidth="1" style="19" min="7" max="7"/>
  </cols>
  <sheetData>
    <row r="1" ht="34" customHeight="1" s="19">
      <c r="A1" s="20" t="inlineStr">
        <is>
          <t>Analysis &amp; Methodology</t>
        </is>
      </c>
    </row>
    <row r="2" ht="28" customHeight="1" s="19">
      <c r="A2" s="21" t="inlineStr">
        <is>
          <t>Definitions, calculations, controls, assumptions, and appropriate interpretation.</t>
        </is>
      </c>
    </row>
    <row r="4">
      <c r="A4" s="26" t="inlineStr">
        <is>
          <t>Analysis Scope</t>
        </is>
      </c>
    </row>
    <row r="5">
      <c r="A5" s="45" t="inlineStr">
        <is>
          <t>Population</t>
        </is>
      </c>
      <c r="B5" s="45" t="inlineStr">
        <is>
          <t>Fulfilled tire sales by year and price category. 2024 and 2025 are complete January–December periods (12 months); 2026 covers January–August only (8 months), with four months remaining.</t>
        </is>
      </c>
    </row>
    <row r="6">
      <c r="A6" s="45" t="inlineStr">
        <is>
          <t>Grain</t>
        </is>
      </c>
      <c r="B6" s="45" t="inlineStr">
        <is>
          <t>One record per Year × Category; 12 unique records in total.</t>
        </is>
      </c>
    </row>
    <row r="7">
      <c r="A7" s="45" t="inlineStr">
        <is>
          <t>Categories</t>
        </is>
      </c>
      <c r="B7" s="45" t="inlineStr">
        <is>
          <t>Premium, Mid Range, Budget, and Economy.</t>
        </is>
      </c>
    </row>
    <row r="8">
      <c r="A8" s="45" t="inlineStr">
        <is>
          <t>Revenue measure</t>
        </is>
      </c>
      <c r="B8" s="45" t="inlineStr">
        <is>
          <t>Net Sales (₱), retaining the source definition/label “Net Sales of VAT.”</t>
        </is>
      </c>
    </row>
    <row r="9">
      <c r="A9" s="45" t="inlineStr">
        <is>
          <t>Unit</t>
        </is>
      </c>
      <c r="B9" s="45" t="inlineStr">
        <is>
          <t>One tire sold; order count and customer count are not available in this workbook.</t>
        </is>
      </c>
    </row>
    <row r="10">
      <c r="A10" s="45" t="n"/>
      <c r="B10" s="45" t="n"/>
      <c r="C10" s="45" t="n"/>
      <c r="D10" s="45" t="n"/>
      <c r="E10" s="45" t="n"/>
      <c r="F10" s="45" t="n"/>
      <c r="G10" s="45" t="n"/>
    </row>
    <row r="11">
      <c r="A11" s="46" t="inlineStr">
        <is>
          <t>Metric Definitions</t>
        </is>
      </c>
    </row>
    <row r="12">
      <c r="A12" s="47" t="inlineStr">
        <is>
          <t>Metric</t>
        </is>
      </c>
      <c r="B12" s="47" t="inlineStr">
        <is>
          <t>Calculation</t>
        </is>
      </c>
      <c r="C12" s="47" t="inlineStr">
        <is>
          <t>Interpretation</t>
        </is>
      </c>
      <c r="D12" s="52" t="inlineStr">
        <is>
          <t>Caution</t>
        </is>
      </c>
      <c r="E12" s="49" t="n"/>
      <c r="F12" s="49" t="n"/>
      <c r="G12" s="49" t="n"/>
    </row>
    <row r="13">
      <c r="A13" s="45" t="inlineStr">
        <is>
          <t>Tires Sold</t>
        </is>
      </c>
      <c r="B13" s="45" t="inlineStr">
        <is>
          <t>Sum of Tires Sold</t>
        </is>
      </c>
      <c r="C13" s="45" t="inlineStr">
        <is>
          <t>Fulfilled unit volume.</t>
        </is>
      </c>
      <c r="D13" s="45" t="inlineStr">
        <is>
          <t>Does not represent orders; an order may contain multiple tires.</t>
        </is>
      </c>
    </row>
    <row r="14">
      <c r="A14" s="45" t="inlineStr">
        <is>
          <t>Net Sales</t>
        </is>
      </c>
      <c r="B14" s="45" t="inlineStr">
        <is>
          <t>Sum of Net Sales (₱)</t>
        </is>
      </c>
      <c r="C14" s="45" t="inlineStr">
        <is>
          <t>Revenue measure supplied by the source.</t>
        </is>
      </c>
      <c r="D14" s="45" t="inlineStr">
        <is>
          <t>No gross sales, discounts, cost, or margin fields are available.</t>
        </is>
      </c>
    </row>
    <row r="15">
      <c r="A15" s="45" t="inlineStr">
        <is>
          <t>Avg ₱ / Tire</t>
        </is>
      </c>
      <c r="B15" s="45" t="inlineStr">
        <is>
          <t>Net Sales ÷ Tires Sold</t>
        </is>
      </c>
      <c r="C15" s="45" t="inlineStr">
        <is>
          <t>Weighted realized average price per tire.</t>
        </is>
      </c>
      <c r="D15" s="45" t="inlineStr">
        <is>
          <t>Not a simple average of rows and not a SKU-level price.</t>
        </is>
      </c>
    </row>
    <row r="16">
      <c r="A16" s="45" t="inlineStr">
        <is>
          <t>YoY Growth</t>
        </is>
      </c>
      <c r="B16" s="45" t="inlineStr">
        <is>
          <t>Current year ÷ prior year − 1</t>
        </is>
      </c>
      <c r="C16" s="45" t="inlineStr">
        <is>
          <t>Annual change in volume or net sales.</t>
        </is>
      </c>
      <c r="D16" s="45" t="inlineStr">
        <is>
          <t>2024 and 2025 are complete 12-month years, but 2026 is an incomplete January–August period. Full-year-to-partial-year totals are not directly comparable.</t>
        </is>
      </c>
    </row>
    <row r="17">
      <c r="A17" s="45" t="inlineStr">
        <is>
          <t>CAGR</t>
        </is>
      </c>
      <c r="B17" s="45" t="inlineStr">
        <is>
          <t>(2026 ÷ 2024)^(1/2) − 1</t>
        </is>
      </c>
      <c r="C17" s="45" t="inlineStr">
        <is>
          <t>Smoothed annual growth over two year-to-year intervals.</t>
        </is>
      </c>
      <c r="D17" s="45" t="inlineStr">
        <is>
          <t>Descriptive trend, not a forecast.</t>
        </is>
      </c>
    </row>
    <row r="18">
      <c r="A18" s="45" t="inlineStr">
        <is>
          <t>Mix Share</t>
        </is>
      </c>
      <c r="B18" s="45" t="inlineStr">
        <is>
          <t>Category total ÷ all-category total</t>
        </is>
      </c>
      <c r="C18" s="45" t="inlineStr">
        <is>
          <t>Category contribution to volume or revenue.</t>
        </is>
      </c>
      <c r="D18" s="45" t="inlineStr">
        <is>
          <t>Mix can shift because of volume, realized price, or both.</t>
        </is>
      </c>
    </row>
    <row r="19">
      <c r="A19" s="45" t="n"/>
      <c r="B19" s="45" t="n"/>
      <c r="C19" s="45" t="n"/>
      <c r="D19" s="45" t="n"/>
      <c r="E19" s="45" t="n"/>
      <c r="F19" s="45" t="n"/>
      <c r="G19" s="45" t="n"/>
    </row>
    <row r="20">
      <c r="A20" s="46" t="inlineStr">
        <is>
          <t>Data Quality &amp; Controls</t>
        </is>
      </c>
    </row>
    <row r="21" ht="30" customHeight="1" s="19">
      <c r="A21" s="45" t="inlineStr">
        <is>
          <t>• Completeness: 12 expected Year × Category records are present; no blank year, category, tires, or net-sales values.</t>
        </is>
      </c>
    </row>
    <row r="22" ht="30" customHeight="1" s="19">
      <c r="A22" s="48" t="inlineStr">
        <is>
          <t>• Uniqueness: each Year × Category combination occurs once.</t>
        </is>
      </c>
    </row>
    <row r="23" ht="30" customHeight="1" s="19">
      <c r="A23" s="45" t="inlineStr">
        <is>
          <t>• Arithmetic: annual and category summaries are derived from the Raw Data sheet; weighted averages use total sales divided by total tires.</t>
        </is>
      </c>
    </row>
    <row r="24" ht="30" customHeight="1" s="19">
      <c r="A24" s="48" t="inlineStr">
        <is>
          <t>• Reconciliation: the raw records reproduce the values embedded in the original workbook's helper ranges.</t>
        </is>
      </c>
    </row>
    <row r="25" ht="30" customHeight="1" s="19">
      <c r="A25" s="45" t="inlineStr">
        <is>
          <t>• Limitation: the available file does not include SKU, transaction, customer, discount, cost, margin, geography, or monthly detail.</t>
        </is>
      </c>
    </row>
    <row r="26" ht="30" customHeight="1" s="19">
      <c r="A26" s="48" t="inlineStr">
        <is>
          <t>• Important: the analysis does not infer true unit-price minima/maxima; only category-year realized averages can be calculated.</t>
        </is>
      </c>
    </row>
    <row r="27" ht="30" customHeight="1" s="19">
      <c r="A27" s="51" t="inlineStr">
        <is>
          <t>REPORTING COVERAGE: 2024 and 2025 are complete January–December periods (12 months each). 2026 covers January–August only (8 months), with September–December (4 months) remaining. No September–December results or full-year projection have been included.</t>
        </is>
      </c>
    </row>
    <row r="28">
      <c r="A28" s="46" t="inlineStr">
        <is>
          <t>Refresh Process</t>
        </is>
      </c>
    </row>
    <row r="29">
      <c r="A29" s="45" t="inlineStr">
        <is>
          <t>Append or replace records in Raw Data using the same columns and one-row-per-Year × Category structure. Extend the Excel table if new rows are added, then extend summary ranges/formulas and refresh charts. Validate uniqueness, positive tire counts, non-negative sales, and reconciliation before interpreting changes. The Executive Analysis values in this prepared file summarize the current 2024–2026 snapshot.</t>
        </is>
      </c>
    </row>
    <row r="30"/>
    <row r="31"/>
    <row r="32"/>
  </sheetData>
  <mergeCells count="26">
    <mergeCell ref="D18:G18"/>
    <mergeCell ref="D12:G12"/>
    <mergeCell ref="A22:G22"/>
    <mergeCell ref="A4:G4"/>
    <mergeCell ref="B8:G8"/>
    <mergeCell ref="A20:G20"/>
    <mergeCell ref="D15:G15"/>
    <mergeCell ref="D14:G14"/>
    <mergeCell ref="A28:G28"/>
    <mergeCell ref="B9:G9"/>
    <mergeCell ref="A24:G24"/>
    <mergeCell ref="A11:G11"/>
    <mergeCell ref="B6:G6"/>
    <mergeCell ref="A1:G1"/>
    <mergeCell ref="B5:G5"/>
    <mergeCell ref="D13:G13"/>
    <mergeCell ref="A25:G25"/>
    <mergeCell ref="A29:G32"/>
    <mergeCell ref="B7:G7"/>
    <mergeCell ref="D17:G17"/>
    <mergeCell ref="A27:G27"/>
    <mergeCell ref="A21:G21"/>
    <mergeCell ref="D16:G16"/>
    <mergeCell ref="A26:G26"/>
    <mergeCell ref="A2:G2"/>
    <mergeCell ref="A23:G23"/>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2026-09-01T05:28:13Z</dcterms:created>
  <dcterms:modified xsi:type="dcterms:W3CDTF">2026-09-01T05:47:51Z</dcterms:modified>
  <cp:revision>0</cp:revision>
</cp:coreProperties>
</file>