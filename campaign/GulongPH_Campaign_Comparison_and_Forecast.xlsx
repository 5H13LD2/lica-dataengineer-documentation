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Aug Dec Forecast" sheetId="2" r:id="rId2"/>
    <sheet name="Monthly Summary" sheetId="3" r:id="rId3"/>
    <sheet name="September MTD" sheetId="4" r:id="rId4"/>
    <sheet name="Sep Dec Forecast" sheetId="5" state="hidden" r:id="rId5"/>
    <sheet name="Daily Budget Schedule" sheetId="6" state="hidden" r:id="rId6"/>
    <sheet name="Campaign Comparison" sheetId="7" r:id="rId7"/>
    <sheet name="September Campaigns" sheetId="8" r:id="rId8"/>
    <sheet name="September Forecast" sheetId="9" state="hidden" r:id="rId9"/>
    <sheet name="Campaign Breakdown" sheetId="10" r:id="rId10"/>
    <sheet name="July August Drivers" sheetId="11" r:id="rId11"/>
    <sheet name="Actions" sheetId="12" r:id="rId12"/>
    <sheet name="Data Quality" sheetId="13" r:id="rId13"/>
    <sheet name="Methodology" sheetId="14" r:id="rId14"/>
    <sheet name="Source CSV" sheetId="15" state="hidden" r:id="rId15"/>
    <sheet name="Prior Sep Forecast" sheetId="16" state="hidden" r:id="rId16"/>
    <sheet name="Charts Data" sheetId="17" state="hidden" r:id="rId17"/>
    <sheet name="Raw June" sheetId="18" r:id="rId18"/>
    <sheet name="Raw July" sheetId="19" r:id="rId19"/>
    <sheet name="Raw August" sheetId="20" r:id="rId20"/>
    <sheet name="Raw September" sheetId="21" r:id="rId21"/>
    <sheet name="Raw Data" sheetId="22" r:id="rId22"/>
    <sheet name="August Sales Basis" sheetId="23" state="hidden" r:id="rId23"/>
    <sheet name="Updated Summary Source" sheetId="24" r:id="rId24"/>
  </sheets>
  <definedNames>
    <definedName name="_xlnm._FilterDatabase" localSheetId="6" hidden="1">'Campaign Breakdown'!$A$1:$P$17</definedName>
    <definedName name="_xlnm._FilterDatabase" localSheetId="1" hidden="1">'Campaign Comparison'!$A$4:$M$13</definedName>
    <definedName name="_xlnm._FilterDatabase" localSheetId="16" hidden="1">'Raw August'!$A$4:$H$10</definedName>
    <definedName name="_xlnm._FilterDatabase" localSheetId="18" hidden="1">'Raw Data'!$A$4:$K$26</definedName>
    <definedName name="_xlnm._FilterDatabase" localSheetId="15" hidden="1">'Raw July'!$A$4:$H$10</definedName>
    <definedName name="_xlnm._FilterDatabase" localSheetId="14" hidden="1">'Raw June'!$A$4:$H$8</definedName>
    <definedName name="_xlnm._FilterDatabase" localSheetId="17" hidden="1">'Raw September'!$A$4:$H$10</definedName>
    <definedName name="_xlnm._FilterDatabase" localSheetId="4" hidden="1">'September Campaigns'!$A$1:$O$7</definedName>
    <definedName name="_xlnm.Print_Area" localSheetId="0">'Executive Summary'!$A$1:$L$49</definedName>
  </definedNames>
  <calcPr calcId="124519" fullCalcOnLoad="1"/>
</workbook>
</file>

<file path=xl/sharedStrings.xml><?xml version="1.0" encoding="utf-8"?>
<sst xmlns="http://schemas.openxmlformats.org/spreadsheetml/2006/main" count="1365" uniqueCount="654">
  <si>
    <t>GulongPH — Campaign Performance Analysis</t>
  </si>
  <si>
    <t>June–August 2026 completed-month comparison, with September 1–8 actuals and a September forecast.</t>
  </si>
  <si>
    <t>PARTIAL MONTH: September includes 8 days only. Compare daily rates and CPA; full-month projections are conditional scenarios, not actual results.</t>
  </si>
  <si>
    <t>August Purchases</t>
  </si>
  <si>
    <t>September 1–8 Purchases</t>
  </si>
  <si>
    <t>September Forecast • Base</t>
  </si>
  <si>
    <t>August CPA</t>
  </si>
  <si>
    <t>September 1–8 CPA</t>
  </si>
  <si>
    <t>CPA Change vs August</t>
  </si>
  <si>
    <t>Completed-Month Results</t>
  </si>
  <si>
    <t>Metric</t>
  </si>
  <si>
    <t>June</t>
  </si>
  <si>
    <t>July</t>
  </si>
  <si>
    <t>August</t>
  </si>
  <si>
    <t>July % change</t>
  </si>
  <si>
    <t>August % change</t>
  </si>
  <si>
    <t>Spend</t>
  </si>
  <si>
    <t>Recorded purchases</t>
  </si>
  <si>
    <t>CPA</t>
  </si>
  <si>
    <t>Sessions</t>
  </si>
  <si>
    <t>Purchases / session</t>
  </si>
  <si>
    <t>Spend / day</t>
  </si>
  <si>
    <t>Purchases / day</t>
  </si>
  <si>
    <t>Management Answer</t>
  </si>
  <si>
    <t>• August purchases increased 67 → 188 (+180.6%) on 25.3% more spend; blended CPA improved 55.3% to ₱633.61.</t>
  </si>
  <si>
    <t>• Michelin PMax drove 119 August purchases (63.3%) and 70.2% of the net July–August purchase increase.</t>
  </si>
  <si>
    <t>• September 1–8: ₱38,950.37 spend and 50 purchases; purchases/day increased 3.1% vs August, but CPA worsened 22.9% to ₱779.01.</t>
  </si>
  <si>
    <t>• At the observed September pace: approximately 187.5 purchases and ₱146,063.89 spend for the full month. Forecast assumptions are editable.</t>
  </si>
  <si>
    <t>• Campaign results are observational. Changes in mix, tracking, weekday composition and conversion lag are uncontrolled; purchases are not verified fulfilled orders.</t>
  </si>
  <si>
    <t>Campaign Purchase Changes • July to August</t>
  </si>
  <si>
    <t>Campaign</t>
  </si>
  <si>
    <t>July purchases</t>
  </si>
  <si>
    <t>August purchases</t>
  </si>
  <si>
    <t>Change</t>
  </si>
  <si>
    <t>Michelin - PMax PH</t>
  </si>
  <si>
    <t>BFG Advantage Touring – PMax PH</t>
  </si>
  <si>
    <t>BFG - PMax (Traffic)</t>
  </si>
  <si>
    <t>All Brand - PMax PH</t>
  </si>
  <si>
    <t>Gulongph Branding - PMax</t>
  </si>
  <si>
    <t>SRC | Michelin | PH</t>
  </si>
  <si>
    <t>Michelin PE Japan - PMax PH</t>
  </si>
  <si>
    <t>SRC | All Brands | PH</t>
  </si>
  <si>
    <t>Campaign Comparison</t>
  </si>
  <si>
    <t>Completed monthly purchase counts and CPAs, plus September daily-rate context. N/A means absent or unreported, not a confirmed zero.</t>
  </si>
  <si>
    <t>June purchases</t>
  </si>
  <si>
    <t>Jul–Aug change</t>
  </si>
  <si>
    <t>Jul–Aug % change</t>
  </si>
  <si>
    <t>Sep 1–8 purchases</t>
  </si>
  <si>
    <t>Aug purchases/day</t>
  </si>
  <si>
    <t>Sep purchases/day</t>
  </si>
  <si>
    <t>Daily % change</t>
  </si>
  <si>
    <t>Sep CPA</t>
  </si>
  <si>
    <t>CPA % change</t>
  </si>
  <si>
    <t>N/A</t>
  </si>
  <si>
    <t>SRC | BFG Advantage Touring | PH</t>
  </si>
  <si>
    <t>July vs June</t>
  </si>
  <si>
    <t>August vs July</t>
  </si>
  <si>
    <t>Change basis</t>
  </si>
  <si>
    <t>Relative growth</t>
  </si>
  <si>
    <t>Campaign users (sum)</t>
  </si>
  <si>
    <t>Add to carts</t>
  </si>
  <si>
    <t>Checkouts</t>
  </si>
  <si>
    <t>Cost / session</t>
  </si>
  <si>
    <t>Percentage points</t>
  </si>
  <si>
    <t>Carts / session</t>
  </si>
  <si>
    <t>Checkouts / cart</t>
  </si>
  <si>
    <t>Purchases / checkout</t>
  </si>
  <si>
    <t>Ratios use reported events; campaign user totals are not deduplicated. Rate deltas are shown as percentage points (e.g., -0.23% means -0.23 pp).</t>
  </si>
  <si>
    <t>September 1–8 actual</t>
  </si>
  <si>
    <t>August full month</t>
  </si>
  <si>
    <t>Sep daily / ratio</t>
  </si>
  <si>
    <t>Aug daily / ratio</t>
  </si>
  <si>
    <t>Comparable change</t>
  </si>
  <si>
    <t>Cost / purchase</t>
  </si>
  <si>
    <t>Checkouts / carts</t>
  </si>
  <si>
    <t>Purchases / checkouts</t>
  </si>
  <si>
    <t>September covers September 1–8, 2026 inclusive (8 elapsed days), per user. Raw totals are shown for context; volume changes compare daily rates, not 8-day totals against full months. Ratio changes use percentage points; cost-ratio changes use relative percentages.</t>
  </si>
  <si>
    <t>September recorded 50 purchases on ₱38,950.37 spend; CPA is ₱779.01 (+22.9% vs August).</t>
  </si>
  <si>
    <t>Purchases/day are 6.25 vs 6.06 in August (+3.1%); spend/day is +26.7% higher.</t>
  </si>
  <si>
    <t>At unchanged daily pace, September would finish near 187.5 purchases and ₱146,063.89 spend. This extrapolates eight days and is not a confidence interval.</t>
  </si>
  <si>
    <t>Michelin PMax supplies 23 of 50 purchases (46.0%) at ₱370.47 CPA. It remains the lowest observed CPA campaign, although its CPA is 54.7% above August.</t>
  </si>
  <si>
    <t>SRC All Brands records 8 purchases at ₱534.96 CPA vs ₱1,520.02 recalculated for August; eight-day results are an early signal requiring more observation.</t>
  </si>
  <si>
    <t>All Brand PMax and BFG Advantage Touring have CPAs of ₱1,724.51 and ₱2,413.11, respectively. Review their purchase quality and spend allocation alongside Michelin and SRC All Brands.</t>
  </si>
  <si>
    <t>No August 1–8 data is available. Daily normalization does not control for weekday mix, conversion lag, promotion timing or within-month seasonality; statistical significance cannot be established from these aggregates.</t>
  </si>
  <si>
    <t>Sep 1–8 spend</t>
  </si>
  <si>
    <t>Campaign users</t>
  </si>
  <si>
    <t>Carts</t>
  </si>
  <si>
    <t>Purchases</t>
  </si>
  <si>
    <t>Aug CPA</t>
  </si>
  <si>
    <t>CPA change</t>
  </si>
  <si>
    <t>Daily purchase change</t>
  </si>
  <si>
    <t>Spend share</t>
  </si>
  <si>
    <t>Purchase share</t>
  </si>
  <si>
    <t>Input / scenario</t>
  </si>
  <si>
    <t>Value / full spend</t>
  </si>
  <si>
    <t>Future CPA</t>
  </si>
  <si>
    <t>Remaining purchases</t>
  </si>
  <si>
    <t>Full-month purchases</t>
  </si>
  <si>
    <t>Explanation</t>
  </si>
  <si>
    <t>Elapsed days</t>
  </si>
  <si>
    <t>Actuals are September 1–8. B7 defaults to the observed daily spending pace for 30 days; replace it with a planned total budget. Remaining-month estimates are added to the 50 purchases already recorded. B10 sets the ±CPA sensitivity assumption.</t>
  </si>
  <si>
    <t>Days in September</t>
  </si>
  <si>
    <t>Actual MTD spend</t>
  </si>
  <si>
    <t>Actual MTD purchases</t>
  </si>
  <si>
    <t>MTD CPA</t>
  </si>
  <si>
    <t>Planned full-month spend</t>
  </si>
  <si>
    <t>If planned total spend is below actual spend, remaining spend is floored at zero; sunk spend cannot be reversed. Forecast purchase counts are expected values, not guaranteed integer outcomes.</t>
  </si>
  <si>
    <t>Remaining spend</t>
  </si>
  <si>
    <t>August actual CPA</t>
  </si>
  <si>
    <t>Assumed CPA sensitivity</t>
  </si>
  <si>
    <t>Downside: MTD CPA +20%</t>
  </si>
  <si>
    <t>Assumed deterioration in remaining-month efficiency.</t>
  </si>
  <si>
    <t>Base: maintain MTD CPA</t>
  </si>
  <si>
    <t>Maintains observed September efficiency for the remaining 22 days.</t>
  </si>
  <si>
    <t>Upside: MTD CPA −20%</t>
  </si>
  <si>
    <t>Assumed improvement; not a statistical upper bound.</t>
  </si>
  <si>
    <t>Reference: August CPA</t>
  </si>
  <si>
    <t>Remaining spend converts at August blended efficiency.</t>
  </si>
  <si>
    <t>Method: actual MTD purchases + remaining planned spend / assumed future CPA. Eight days provide no daily variance estimate or dependable seasonal pattern. Scenarios are assumption-driven, not calibrated prediction intervals. Conversion lag and campaign mix changes can alter the result.</t>
  </si>
  <si>
    <t>Remaining-spend sensitivity</t>
  </si>
  <si>
    <t>Future CPA +20%</t>
  </si>
  <si>
    <t>Future MTD CPA</t>
  </si>
  <si>
    <t>Future CPA −20%</t>
  </si>
  <si>
    <t>Sensitivity cells report full-month purchases including actuals. The Prior Sep Forecast tab retains the original pre-September scenarios for comparison; this tab supersedes those estimates using observed September activity.</t>
  </si>
  <si>
    <t>Month</t>
  </si>
  <si>
    <t>Users (campaign)</t>
  </si>
  <si>
    <t>Cost/session</t>
  </si>
  <si>
    <t>Purchase/session</t>
  </si>
  <si>
    <t>Cart/session</t>
  </si>
  <si>
    <t>Checkout/cart</t>
  </si>
  <si>
    <t>Purchase/checkout</t>
  </si>
  <si>
    <t>July spend</t>
  </si>
  <si>
    <t>August spend</t>
  </si>
  <si>
    <t>Spend change</t>
  </si>
  <si>
    <t>Purchase change</t>
  </si>
  <si>
    <t>Share of net +121</t>
  </si>
  <si>
    <t>Comparison status</t>
  </si>
  <si>
    <t>Continuing</t>
  </si>
  <si>
    <t>Newly observed / resumed</t>
  </si>
  <si>
    <t>Absent in August</t>
  </si>
  <si>
    <t>Bridge only: absent or missing campaign purchases contribute zero to reported-total differences. This does not establish a campaign launch, closure, or a causal effect.</t>
  </si>
  <si>
    <t>Priority</t>
  </si>
  <si>
    <t>Focus</t>
  </si>
  <si>
    <t>Proposed next step</t>
  </si>
  <si>
    <t>Success check</t>
  </si>
  <si>
    <t>1</t>
  </si>
  <si>
    <t>Validate measurement</t>
  </si>
  <si>
    <t>Audit session growth, campaign tagging, purchase deduplication and attribution consistency before interpreting traffic changes as demand growth.</t>
  </si>
  <si>
    <t>Tracking definitions and purchase events reconcile with source systems.</t>
  </si>
  <si>
    <t>2</t>
  </si>
  <si>
    <t>Prioritize Michelin PMax review</t>
  </si>
  <si>
    <t>It has the strongest observed August purchase CPA. Evaluate controlled budget tests after checking fulfilled-order quality and margins.</t>
  </si>
  <si>
    <t>Monitor incremental purchases, CPA and fulfilled net sales during any test.</t>
  </si>
  <si>
    <t>3</t>
  </si>
  <si>
    <t>Review BFG Advantage Touring</t>
  </si>
  <si>
    <t>High spend share and low purchase share warrant an asset, audience and landing-page review. Compare against BFG Traffic (13 purchases; ₱795.95 CPA).</t>
  </si>
  <si>
    <t>Evaluate comparable conversion quality and CPA after measurement checks.</t>
  </si>
  <si>
    <t>4</t>
  </si>
  <si>
    <t>Investigate SRC Michelin</t>
  </si>
  <si>
    <t>July spend with zero purchases and only 69 sessions warrants a click-to-session and purchase-tracking audit.</t>
  </si>
  <si>
    <t>Explain the traffic discrepancy and determine whether purchases were missed.</t>
  </si>
  <si>
    <t>5</t>
  </si>
  <si>
    <t>Monitor SRC All Brands</t>
  </si>
  <si>
    <t>August purchases fell 13 → 10 as spend fell 37.7%; CPA improved 19.0%, so lower volume alone is not evidence of poorer efficiency.</t>
  </si>
  <si>
    <t>Track both purchase volume and CPA with budget context.</t>
  </si>
  <si>
    <t>Period</t>
  </si>
  <si>
    <t>Check</t>
  </si>
  <si>
    <t>Result</t>
  </si>
  <si>
    <t>Detail</t>
  </si>
  <si>
    <t>Monthly export reconciliation</t>
  </si>
  <si>
    <t>PASS</t>
  </si>
  <si>
    <t>4 campaign rows match all six base metrics</t>
  </si>
  <si>
    <t>Reported total vs campaign spend</t>
  </si>
  <si>
    <t>Row sum ₱61,601.33; reported ₱61,601.33; difference ₱0.00</t>
  </si>
  <si>
    <t>6 campaign rows match all six base metrics</t>
  </si>
  <si>
    <t>DIFFERENCE</t>
  </si>
  <si>
    <t>Row sum ₱95,066.91; reported ₱95,066.89; difference ₱0.02</t>
  </si>
  <si>
    <t>Row sum ₱119,119.20; reported ₱119,119.20; difference ₱0.00</t>
  </si>
  <si>
    <t>All Brand purchase growth</t>
  </si>
  <si>
    <t>RECALCULATED</t>
  </si>
  <si>
    <t>4 → 18 is +350.0%; combined source displays 77.78%.</t>
  </si>
  <si>
    <t>SRC All Brands session growth</t>
  </si>
  <si>
    <t>5,544 → 3,140 is −43.36%; combined source displays +183.01%.</t>
  </si>
  <si>
    <t>Michelin purchase growth</t>
  </si>
  <si>
    <t>34 → 119 is +250.0%; combined source displays 71.43%.</t>
  </si>
  <si>
    <t>September 1–8</t>
  </si>
  <si>
    <t>Source completeness</t>
  </si>
  <si>
    <t>PARTIAL MONTH</t>
  </si>
  <si>
    <t>6 campaign rows. 8 elapsed days per user; no daily data or independent September total supplied.</t>
  </si>
  <si>
    <t>Item</t>
  </si>
  <si>
    <t>Definition / limitation</t>
  </si>
  <si>
    <t>Scope: June, July and August 2026 monthly labels; assumed full months (30/31/31 days). Daily records are unavailable to verify coverage.</t>
  </si>
  <si>
    <t>Primary source: combined Google Ads CSV. Separate june.csv, july.csv and august.csv independently reconcile all six base metrics.</t>
  </si>
  <si>
    <t>July campaign costs total ₱95,066.91; the combined sheet reports ₱95,066.89. Analysis uses the campaign-row sum (₱0.02 difference).</t>
  </si>
  <si>
    <t>All growth is (current − previous) / previous. Source % diff columns are not used. Zero or missing baselines produce N/A.</t>
  </si>
  <si>
    <t>CPA = total cost / total recorded purchases, never the average of campaign CPAs. Purchases are reported events, not verified fulfilled orders or unique buyers.</t>
  </si>
  <si>
    <t>Total users are summed campaign-reported users, not deduplicated monthly or quarterly people. Session totals are sums of reported campaign sessions.</t>
  </si>
  <si>
    <t>July BFG Advantage Touring PMax has zero spend and missing activity. Missing raw values stay blank; monthly sums use available values only.</t>
  </si>
  <si>
    <t>Funnel ratios divide aggregate events; they do not track the same users through sequential stages and may include repeated events.</t>
  </si>
  <si>
    <t>No verified attributed revenue, margins, conversion definitions, attribution windows or tracking-change history are supplied. Actual ROAS and profitability cannot be determined.</t>
  </si>
  <si>
    <t>August Average Net Sales exists for five campaigns only and is not defined. It is retained in Raw Data, but not multiplied by purchases or treated as verified revenue.</t>
  </si>
  <si>
    <t>Campaign mix and June/July month lengths differ. Daily rates aid comparison but do not establish campaign causality.</t>
  </si>
  <si>
    <t>Budget notes are source context; several mid-month changes are listed, so current daily budgets are not substitutes for actual monthly spend.</t>
  </si>
  <si>
    <t>September source: sep .csv; September 1–8 inclusive per user, not verified from daily dates. September in the combined CSV is not used as actuals. New forecast anchors on MTD actuals; prior forecast retained separately.</t>
  </si>
  <si>
    <t>June 2026</t>
  </si>
  <si>
    <t>Cost</t>
  </si>
  <si>
    <t>Total users</t>
  </si>
  <si>
    <t>Purchase</t>
  </si>
  <si>
    <t>cost per purchase</t>
  </si>
  <si>
    <t>budget daily</t>
  </si>
  <si>
    <t>16,187.52</t>
  </si>
  <si>
    <t>44</t>
  </si>
  <si>
    <t>43</t>
  </si>
  <si>
    <t>0</t>
  </si>
  <si>
    <t>null</t>
  </si>
  <si>
    <t>22,000.16</t>
  </si>
  <si>
    <t>176</t>
  </si>
  <si>
    <t>164</t>
  </si>
  <si>
    <t>15</t>
  </si>
  <si>
    <t>12,607.29</t>
  </si>
  <si>
    <t>1421</t>
  </si>
  <si>
    <t>1310</t>
  </si>
  <si>
    <t>379</t>
  </si>
  <si>
    <t>26</t>
  </si>
  <si>
    <t>3151.821485</t>
  </si>
  <si>
    <t>10,806.36</t>
  </si>
  <si>
    <t>324</t>
  </si>
  <si>
    <t>296</t>
  </si>
  <si>
    <t>99</t>
  </si>
  <si>
    <t>10</t>
  </si>
  <si>
    <t>2161.272244</t>
  </si>
  <si>
    <t>OVERALL TOTAL</t>
  </si>
  <si>
    <t>61, 601.33</t>
  </si>
  <si>
    <t>JULY</t>
  </si>
  <si>
    <t>Budget Increase</t>
  </si>
  <si>
    <t>% diff</t>
  </si>
  <si>
    <t>250.00</t>
  </si>
  <si>
    <t>22,216.16</t>
  </si>
  <si>
    <t>6105</t>
  </si>
  <si>
    <t>329.63%</t>
  </si>
  <si>
    <t>5603</t>
  </si>
  <si>
    <t>1146</t>
  </si>
  <si>
    <t>86</t>
  </si>
  <si>
    <t>18</t>
  </si>
  <si>
    <t>77.78%</t>
  </si>
  <si>
    <t>1,234.23</t>
  </si>
  <si>
    <t>600 &gt; 750 (increase on July 18, 2026)</t>
  </si>
  <si>
    <t>-500.00</t>
  </si>
  <si>
    <t>24,387.85</t>
  </si>
  <si>
    <t>5544</t>
  </si>
  <si>
    <t>33.6875</t>
  </si>
  <si>
    <t>5086</t>
  </si>
  <si>
    <t>999</t>
  </si>
  <si>
    <t>54</t>
  </si>
  <si>
    <t>13</t>
  </si>
  <si>
    <t>100.00%</t>
  </si>
  <si>
    <t>1,875.99</t>
  </si>
  <si>
    <t>1K &gt; 500 (July 18, 2026)</t>
  </si>
  <si>
    <t>20,054.15</t>
  </si>
  <si>
    <t>69</t>
  </si>
  <si>
    <t>67</t>
  </si>
  <si>
    <t>18,705.37</t>
  </si>
  <si>
    <t>6171</t>
  </si>
  <si>
    <t>5507</t>
  </si>
  <si>
    <t>1659</t>
  </si>
  <si>
    <t>112</t>
  </si>
  <si>
    <t>34</t>
  </si>
  <si>
    <t>550.16</t>
  </si>
  <si>
    <t>0.00</t>
  </si>
  <si>
    <t>9,703.38</t>
  </si>
  <si>
    <t>1366</t>
  </si>
  <si>
    <t>1270</t>
  </si>
  <si>
    <t>199</t>
  </si>
  <si>
    <t>4,851.69</t>
  </si>
  <si>
    <t>937.5</t>
  </si>
  <si>
    <t>95,066.89</t>
  </si>
  <si>
    <t xml:space="preserve">Average Net Sales </t>
  </si>
  <si>
    <t>28,491.25</t>
  </si>
  <si>
    <t>40757</t>
  </si>
  <si>
    <t>567.60%</t>
  </si>
  <si>
    <t>35889</t>
  </si>
  <si>
    <t>1165</t>
  </si>
  <si>
    <t>78</t>
  </si>
  <si>
    <t>27</t>
  </si>
  <si>
    <t>33.33%</t>
  </si>
  <si>
    <t>1,055.23</t>
  </si>
  <si>
    <t>₱16,239.13</t>
  </si>
  <si>
    <t>28,485.14</t>
  </si>
  <si>
    <t>58564</t>
  </si>
  <si>
    <t>50691</t>
  </si>
  <si>
    <t>955</t>
  </si>
  <si>
    <t>71</t>
  </si>
  <si>
    <t>14</t>
  </si>
  <si>
    <t>2,034.65</t>
  </si>
  <si>
    <t>₱13,927.62</t>
  </si>
  <si>
    <t>28,500.64</t>
  </si>
  <si>
    <t>17278</t>
  </si>
  <si>
    <t>179.99%</t>
  </si>
  <si>
    <t>15080</t>
  </si>
  <si>
    <t>3825</t>
  </si>
  <si>
    <t>396</t>
  </si>
  <si>
    <t>119</t>
  </si>
  <si>
    <t>71.43%</t>
  </si>
  <si>
    <t>239.50</t>
  </si>
  <si>
    <t>₱18,399.74</t>
  </si>
  <si>
    <t>15,200.15</t>
  </si>
  <si>
    <t>3140</t>
  </si>
  <si>
    <t>183.01%</t>
  </si>
  <si>
    <t>2816</t>
  </si>
  <si>
    <t>861</t>
  </si>
  <si>
    <t>42</t>
  </si>
  <si>
    <t>-30.00%</t>
  </si>
  <si>
    <t>1,520.01</t>
  </si>
  <si>
    <t>500</t>
  </si>
  <si>
    <t>₱18,331.91</t>
  </si>
  <si>
    <t>10,347.32</t>
  </si>
  <si>
    <t>18614</t>
  </si>
  <si>
    <t>16656</t>
  </si>
  <si>
    <t>605</t>
  </si>
  <si>
    <t>46</t>
  </si>
  <si>
    <t>795.95</t>
  </si>
  <si>
    <t xml:space="preserve"> 450 (New Campaign)</t>
  </si>
  <si>
    <t>₱18,320.07</t>
  </si>
  <si>
    <t>8,094.70</t>
  </si>
  <si>
    <t>17246</t>
  </si>
  <si>
    <t>15193</t>
  </si>
  <si>
    <t>512</t>
  </si>
  <si>
    <t>1,618.94</t>
  </si>
  <si>
    <t>119,119.20</t>
  </si>
  <si>
    <t>September</t>
  </si>
  <si>
    <t>BFG PMax [New]</t>
  </si>
  <si>
    <t>28,125.00</t>
  </si>
  <si>
    <t>50.00</t>
  </si>
  <si>
    <t xml:space="preserve"> 450 &gt; 500 (increase on sept 7, 2026) - New Campaign</t>
  </si>
  <si>
    <t>537.00</t>
  </si>
  <si>
    <t>16,110.00</t>
  </si>
  <si>
    <t>400 &gt; 937.50 (increase on sept 9, 2026)</t>
  </si>
  <si>
    <t>111,574.21</t>
  </si>
  <si>
    <t>BUDGET ALLOCATION (SEPTEMBER 2026)</t>
  </si>
  <si>
    <t>PLATFORM</t>
  </si>
  <si>
    <t>CAMPAIGN / AD SET TYPE</t>
  </si>
  <si>
    <t>MONTHLY (ESTIMATED)</t>
  </si>
  <si>
    <t>DAILY (ESTIMATED)</t>
  </si>
  <si>
    <t>Google Ads</t>
  </si>
  <si>
    <t>All Brands - PMax</t>
  </si>
  <si>
    <t>Michelin/BFG - PMax</t>
  </si>
  <si>
    <t>Michelin Cashback - PMax</t>
  </si>
  <si>
    <t>Scenario / input</t>
  </si>
  <si>
    <t>Value / spend</t>
  </si>
  <si>
    <t>CPA assumption</t>
  </si>
  <si>
    <t>Projected purchases</t>
  </si>
  <si>
    <t>Interpretation</t>
  </si>
  <si>
    <t>Forecast period</t>
  </si>
  <si>
    <t>September 2026</t>
  </si>
  <si>
    <t>Conditional planning projection, not a statistically calibrated prediction.</t>
  </si>
  <si>
    <t>Planned September spend</t>
  </si>
  <si>
    <t>Editable assumptions: B4 = planned spend; B5 = optimistic CPA reduction. Default spend maintains August daily spend over September’s 30 days.</t>
  </si>
  <si>
    <t>Optimistic CPA reduction</t>
  </si>
  <si>
    <t>July actual CPA</t>
  </si>
  <si>
    <t>July–August pooled CPA</t>
  </si>
  <si>
    <t>Conservative: July efficiency</t>
  </si>
  <si>
    <t>Uses July observed CPA; this is a historical stress case, not a lower confidence bound.</t>
  </si>
  <si>
    <t>Pooled recent efficiency</t>
  </si>
  <si>
    <t>Two-month pooled spend / purchases smooths the most recent improvement.</t>
  </si>
  <si>
    <t>Base: August efficiency</t>
  </si>
  <si>
    <t>Assumes August campaign mix and measured efficiency continue; default planning baseline.</t>
  </si>
  <si>
    <t>Optimistic: assumed improvement</t>
  </si>
  <si>
    <t>Assumes 20% lower CPA than August. User-editable scenario, not a fitted trend.</t>
  </si>
  <si>
    <t>Statistical limits: n = 3 aggregate months. No daily variation, seasonality history or stable campaign composition is available. Forecasts assume CPA can be held at the scenario level as spend changes; saturation and auction effects are unknown. No confidence interval or validated accuracy claim is presented.</t>
  </si>
  <si>
    <t>Backtest diagnostic: June CPA applied to July spend predicts 13.89 purchases vs 67 observed (−79.3% error). July CPA applied to August spend predicts 83.95 vs 188 (−55.3%). These two one-step checks show historical CPA carry-forward underpredicted recent growth; they do not validate any forecast model.</t>
  </si>
  <si>
    <t>Spend sensitivity</t>
  </si>
  <si>
    <t>CPA +20%</t>
  </si>
  <si>
    <t>CPA −20%</t>
  </si>
  <si>
    <t>Sensitivity cells show expected recorded purchases. They are conditional arithmetic, not probabilities. Compare actual September spend, purchases and fulfilled orders weekly; revise the assumptions when the campaign mix or tracking changes.</t>
  </si>
  <si>
    <t>Raw June — 2026</t>
  </si>
  <si>
    <t>Source: june.csv. Monthly export; source values retained as supplied.</t>
  </si>
  <si>
    <t>₱16,187.52</t>
  </si>
  <si>
    <t>No data</t>
  </si>
  <si>
    <t>₱22,000.16</t>
  </si>
  <si>
    <t>₱12,607.29</t>
  </si>
  <si>
    <t>1,310</t>
  </si>
  <si>
    <t>₱3,151.82</t>
  </si>
  <si>
    <t>1,421</t>
  </si>
  <si>
    <t>₱10,806.36</t>
  </si>
  <si>
    <t>₱2,161.27</t>
  </si>
  <si>
    <t>Raw July — 2026</t>
  </si>
  <si>
    <t>Source: july.csv. Monthly export; source values retained as supplied.</t>
  </si>
  <si>
    <t>₱22,216.16</t>
  </si>
  <si>
    <t>5,603</t>
  </si>
  <si>
    <t>₱1,234.23</t>
  </si>
  <si>
    <t>6,105</t>
  </si>
  <si>
    <t>1,146</t>
  </si>
  <si>
    <t>₱24,387.85</t>
  </si>
  <si>
    <t>5,086</t>
  </si>
  <si>
    <t>₱1,875.99</t>
  </si>
  <si>
    <t>5,544</t>
  </si>
  <si>
    <t>₱20,054.15</t>
  </si>
  <si>
    <t>₱18,705.37</t>
  </si>
  <si>
    <t>5,507</t>
  </si>
  <si>
    <t>₱550.16</t>
  </si>
  <si>
    <t>6,171</t>
  </si>
  <si>
    <t>1,659</t>
  </si>
  <si>
    <t>₱9,703.38</t>
  </si>
  <si>
    <t>1,270</t>
  </si>
  <si>
    <t>₱4,851.69</t>
  </si>
  <si>
    <t>1,366</t>
  </si>
  <si>
    <t>₱0</t>
  </si>
  <si>
    <t>Raw August — 2026</t>
  </si>
  <si>
    <t>Source: august.csv. Monthly export; source values retained as supplied.</t>
  </si>
  <si>
    <t>₱28,491.25</t>
  </si>
  <si>
    <t>35,889</t>
  </si>
  <si>
    <t>₱1,055.23</t>
  </si>
  <si>
    <t>40,757</t>
  </si>
  <si>
    <t>1,165</t>
  </si>
  <si>
    <t>₱28,485.14</t>
  </si>
  <si>
    <t>50,691</t>
  </si>
  <si>
    <t>₱2,034.65</t>
  </si>
  <si>
    <t>58,564</t>
  </si>
  <si>
    <t>₱28,500.64</t>
  </si>
  <si>
    <t>15,080</t>
  </si>
  <si>
    <t>₱239.5</t>
  </si>
  <si>
    <t>17,278</t>
  </si>
  <si>
    <t>3,825</t>
  </si>
  <si>
    <t>₱15,200.15</t>
  </si>
  <si>
    <t>2,816</t>
  </si>
  <si>
    <t>₱1,520.01</t>
  </si>
  <si>
    <t>3,140</t>
  </si>
  <si>
    <t>₱10,347.32</t>
  </si>
  <si>
    <t>16,656</t>
  </si>
  <si>
    <t>₱795.95</t>
  </si>
  <si>
    <t>18,614</t>
  </si>
  <si>
    <t>₱8,094.7</t>
  </si>
  <si>
    <t>15,193</t>
  </si>
  <si>
    <t>₱1,618.94</t>
  </si>
  <si>
    <t>17,246</t>
  </si>
  <si>
    <t>Raw September — 2026</t>
  </si>
  <si>
    <t>Source: sep .csv. September 1–8 only (8 days), per user; incomplete month.</t>
  </si>
  <si>
    <t>₱8,622.53</t>
  </si>
  <si>
    <t>10,786</t>
  </si>
  <si>
    <t>₱1,724.51</t>
  </si>
  <si>
    <t>12,515</t>
  </si>
  <si>
    <t>207</t>
  </si>
  <si>
    <t>24</t>
  </si>
  <si>
    <t>₱4,036.15</t>
  </si>
  <si>
    <t>8,512</t>
  </si>
  <si>
    <t>₱672.69</t>
  </si>
  <si>
    <t>9,560</t>
  </si>
  <si>
    <t>312</t>
  </si>
  <si>
    <t>6</t>
  </si>
  <si>
    <t>₱9,652.42</t>
  </si>
  <si>
    <t>17,617</t>
  </si>
  <si>
    <t>₱2,413.11</t>
  </si>
  <si>
    <t>20,470</t>
  </si>
  <si>
    <t>319</t>
  </si>
  <si>
    <t>25</t>
  </si>
  <si>
    <t>₱3,838.89</t>
  </si>
  <si>
    <t>6,263</t>
  </si>
  <si>
    <t>₱959.72</t>
  </si>
  <si>
    <t>7,075</t>
  </si>
  <si>
    <t>168</t>
  </si>
  <si>
    <t>12</t>
  </si>
  <si>
    <t>₱8,520.72</t>
  </si>
  <si>
    <t>7,632</t>
  </si>
  <si>
    <t>₱370.47</t>
  </si>
  <si>
    <t>8,706</t>
  </si>
  <si>
    <t>1,166</t>
  </si>
  <si>
    <t>128</t>
  </si>
  <si>
    <t>23</t>
  </si>
  <si>
    <t>₱4,279.66</t>
  </si>
  <si>
    <t>670</t>
  </si>
  <si>
    <t>₱534.96</t>
  </si>
  <si>
    <t>775</t>
  </si>
  <si>
    <t>304</t>
  </si>
  <si>
    <t>35</t>
  </si>
  <si>
    <t>8</t>
  </si>
  <si>
    <t>Raw Data — June, July, August and September 2026</t>
  </si>
  <si>
    <t>22 campaign-month rows from the four monthly CSV files. September is September 1–8 only. Currency strings and No data values are retained exactly as supplied.</t>
  </si>
  <si>
    <t>Source file</t>
  </si>
  <si>
    <t>CSV line</t>
  </si>
  <si>
    <t>june.csv</t>
  </si>
  <si>
    <t>july.csv</t>
  </si>
  <si>
    <t>august.csv</t>
  </si>
  <si>
    <t>sep .csv</t>
  </si>
  <si>
    <t>September–December 2026 — Budget &amp; Sales Plan</t>
  </si>
  <si>
    <t>August actual efficiency baseline • September daily budget schedule • monthly sales targets rising ₱1M to ₱14M in December</t>
  </si>
  <si>
    <t>PLANNING ESTIMATE: sales use August purchases × supplied Average Net Sales, assuming that field is per purchase. Branding sales are missing. October–December growth rates are editable and temporarily use 0% until supplied.</t>
  </si>
  <si>
    <t>Baseline / assumption</t>
  </si>
  <si>
    <t>Value</t>
  </si>
  <si>
    <t>Meaning</t>
  </si>
  <si>
    <t>August actual ad spend</t>
  </si>
  <si>
    <t>Sum of August campaign costs.</t>
  </si>
  <si>
    <t>August recorded purchases</t>
  </si>
  <si>
    <t>Reported purchase events; not verified fulfilled orders.</t>
  </si>
  <si>
    <t>August cost per purchase</t>
  </si>
  <si>
    <t>August actual spend / recorded purchases.</t>
  </si>
  <si>
    <t>August estimated sales — source proxy</t>
  </si>
  <si>
    <t>Purchases × Average Net Sales for 5 campaigns; missing Branding excluded. Replace with verified comparable sales when available.</t>
  </si>
  <si>
    <t>December monthly sales goal</t>
  </si>
  <si>
    <t>User goal; monthly sales, not cumulative.</t>
  </si>
  <si>
    <t>Monthly sales-goal increase</t>
  </si>
  <si>
    <t>September 11M; October 12M; November 13M; December 14M.</t>
  </si>
  <si>
    <t>Plan metric</t>
  </si>
  <si>
    <t>October</t>
  </si>
  <si>
    <t>November</t>
  </si>
  <si>
    <t>December</t>
  </si>
  <si>
    <t>Days in month</t>
  </si>
  <si>
    <t>Budget increase vs prior month</t>
  </si>
  <si>
    <t>Planned monthly ad spend</t>
  </si>
  <si>
    <t>Average daily ad budget</t>
  </si>
  <si>
    <t>August CPA baseline</t>
  </si>
  <si>
    <t>Projected purchases — August CPA</t>
  </si>
  <si>
    <t>Monthly sales goal</t>
  </si>
  <si>
    <t>Estimated August sales / ad spend</t>
  </si>
  <si>
    <t>Estimated sales — August proxy</t>
  </si>
  <si>
    <t>Sales gap to goal</t>
  </si>
  <si>
    <t>Required sales / planned ad spend</t>
  </si>
  <si>
    <t>Spend needed at August sales efficiency</t>
  </si>
  <si>
    <t>Budget gap to target-implied spend</t>
  </si>
  <si>
    <t>Growth applies to TOTAL MONTHLY budget. Daily budget = monthly budget / calendar days, so a 0% monthly increase gives different daily budgets in 30- and 31-day months. No growth rates have been supplied; 0% is a temporary calculation fallback, not an approved budget.</t>
  </si>
  <si>
    <t>Sales model: estimated August sales / August spend × planned spend; purchase counts × Average Net Sales are a proxy, not verified revenue. Use only comparable Google Ads-attributed sales. If the ₱11M–₱14M goals are company-wide, this ratio is not ROAS and cannot establish the Google Ads budget required to achieve company sales; channel allocation is needed.</t>
  </si>
  <si>
    <t>Model limits: a constant August CPA / sales efficiency assumes unchanged conversion quality, campaign mix and scale effects. These are scenario projections, not a statistical trend fit or confidence interval. Sales targets are goals, not forecast results.</t>
  </si>
  <si>
    <t>September tracking</t>
  </si>
  <si>
    <t>Actual Sep 1–8</t>
  </si>
  <si>
    <t>Remaining budget</t>
  </si>
  <si>
    <t>Remaining purchases at Aug CPA</t>
  </si>
  <si>
    <t>Actual + remaining forecast</t>
  </si>
  <si>
    <t>Actuals anchored update</t>
  </si>
  <si>
    <t>September planning projection uses the full monthly budget at August CPA; the tracking estimate separately preserves 50 purchases already observed on ₱38,950.37 spend. The daily schedule is a planning assumption, not a reconciliation of actual daily delivery.</t>
  </si>
  <si>
    <t>September Daily Budget Schedule</t>
  </si>
  <si>
    <t>Campaign names mapped from the five funded September rows in the combined source: All Brands, BFG PMax [New], Michelin, BFG Traffic, Branding. Rates and effective dates supplied by user; constant rates assumed from September 1 for the first three.</t>
  </si>
  <si>
    <t>Sep 1–6 daily</t>
  </si>
  <si>
    <t>Sep 7–8 daily</t>
  </si>
  <si>
    <t>Sep 9–30 daily</t>
  </si>
  <si>
    <t>Days before Sep 7</t>
  </si>
  <si>
    <t>Days Sep 7–8</t>
  </si>
  <si>
    <t>September budget</t>
  </si>
  <si>
    <t>Days Sep 9–30</t>
  </si>
  <si>
    <t>Michelin - PMax</t>
  </si>
  <si>
    <t>TOTAL</t>
  </si>
  <si>
    <t>September schedule totals ₱123,000, +3.26% vs August actual spend. Daily run rate from September 9 is ₱4,250. No separate SRC All Brands allocation was supplied, although it appears in September actuals; no extra budget is invented for it.</t>
  </si>
  <si>
    <t>BFG PMax [New] in the budget source differs from BFG Advantage Touring in September actuals. This schedule follows supplied budget rows; campaign-level mapping is not verified. Actual platform delivery may differ from the daily plan.</t>
  </si>
  <si>
    <t>August Sales Basis — supplied combined CSV</t>
  </si>
  <si>
    <t>ASSUMPTION: Average Net Sales means net sales per recorded purchase. The file does not define this field or verify attribution. Branding has no average; its sales remain excluded. These estimates are not actual revenue or proven ROAS.</t>
  </si>
  <si>
    <t>Average Net Sales</t>
  </si>
  <si>
    <t>Estimated sales proxy</t>
  </si>
  <si>
    <t>Source line</t>
  </si>
  <si>
    <t>Coverage</t>
  </si>
  <si>
    <t>Included under assumption</t>
  </si>
  <si>
    <t>Missing average</t>
  </si>
  <si>
    <t>Not supplied</t>
  </si>
  <si>
    <t>Not estimated</t>
  </si>
  <si>
    <t>TOTAL KNOWN-AVERAGE PROXY</t>
  </si>
  <si>
    <t>Coverage: 183 of 188 August purchases (97.3%) have an average-sales value. The proxy is ₱3,244,492.26; all August ad spend is retained in the efficiency denominator. Missing Branding sales are not assumed to be zero in reality.</t>
  </si>
  <si>
    <t>Budget source discrepancy: the combined September Cost total is ₱111,574.21, but dated daily budgets imply ₱123,000. The plan uses the explicit daily schedule requested by the user. The combined September section is not the Sep 1–8 actual export.</t>
  </si>
  <si>
    <t>September Plan • August CPA</t>
  </si>
  <si>
    <t>UPDATED FORECAST: See Sep Dec Forecast for September–December budget growth inputs and ₱11M / ₱12M / ₱13M / ₱14M sales goals. September planned spend is ₱123,000. Earlier MTD pace scenarios are retained as historical context.</t>
  </si>
  <si>
    <t>• September plan: ₱123,000 spend, using supplied daily budgets. At August CPA this implies 194.1 purchases; October–December budget growth rates are pending. Sales estimates use the explicitly qualified August sales proxy.</t>
  </si>
  <si>
    <t>Gulong.ph Ads &amp; Sales Forecast | August Baseline to December 2026</t>
  </si>
  <si>
    <t>Sales Goal</t>
  </si>
  <si>
    <t>PMax Daily Budget Each</t>
  </si>
  <si>
    <t>PMax Monthly Capacity</t>
  </si>
  <si>
    <t>Search Budget</t>
  </si>
  <si>
    <t>Approx. Total Ads Budget</t>
  </si>
  <si>
    <t>Total Users</t>
  </si>
  <si>
    <t>Add to Carts</t>
  </si>
  <si>
    <t>Purchase Growth vs Aug</t>
  </si>
  <si>
    <t>Aug Actual</t>
  </si>
  <si>
    <t>₱10.02M</t>
  </si>
  <si>
    <t>Mixed</t>
  </si>
  <si>
    <t>₱15.2K actual</t>
  </si>
  <si>
    <t>₱119K actual</t>
  </si>
  <si>
    <t>155,599</t>
  </si>
  <si>
    <t>136,325</t>
  </si>
  <si>
    <t>7,923</t>
  </si>
  <si>
    <t>659</t>
  </si>
  <si>
    <t>188</t>
  </si>
  <si>
    <t>—</t>
  </si>
  <si>
    <t>₱11M</t>
  </si>
  <si>
    <t>₱1,000</t>
  </si>
  <si>
    <t>₱150,000</t>
  </si>
  <si>
    <t>₱15,000</t>
  </si>
  <si>
    <t>~₱157K projected</t>
  </si>
  <si>
    <t>170,756</t>
  </si>
  <si>
    <t>149,605</t>
  </si>
  <si>
    <t>8,695</t>
  </si>
  <si>
    <t>724</t>
  </si>
  <si>
    <t>206</t>
  </si>
  <si>
    <t>9.6%</t>
  </si>
  <si>
    <t>₱12M</t>
  </si>
  <si>
    <t>₱1,100</t>
  </si>
  <si>
    <t>₱170,500</t>
  </si>
  <si>
    <t>₱15,500</t>
  </si>
  <si>
    <t>~₱186K capacity</t>
  </si>
  <si>
    <t>186,270</t>
  </si>
  <si>
    <t>163,200</t>
  </si>
  <si>
    <t>9,485</t>
  </si>
  <si>
    <t>789</t>
  </si>
  <si>
    <t>225</t>
  </si>
  <si>
    <t>19.7%</t>
  </si>
  <si>
    <t>₱13M</t>
  </si>
  <si>
    <t>₱1,200</t>
  </si>
  <si>
    <t>₱180,000</t>
  </si>
  <si>
    <t>~₱195K capacity</t>
  </si>
  <si>
    <t>201,790</t>
  </si>
  <si>
    <t>176,800</t>
  </si>
  <si>
    <t>10,275</t>
  </si>
  <si>
    <t>855</t>
  </si>
  <si>
    <t>244</t>
  </si>
  <si>
    <t>29.8%</t>
  </si>
  <si>
    <t>₱14M+</t>
  </si>
  <si>
    <t>₱1,300</t>
  </si>
  <si>
    <t>₱201,500</t>
  </si>
  <si>
    <t>~₱217K capacity</t>
  </si>
  <si>
    <t>217,310</t>
  </si>
  <si>
    <t>190,400</t>
  </si>
  <si>
    <t>11,065</t>
  </si>
  <si>
    <t>920</t>
  </si>
  <si>
    <t>263</t>
  </si>
  <si>
    <t>39.9%</t>
  </si>
  <si>
    <t>Forecast basis: August 2026 actual performance is the baseline. Planned PMax daily budget increases monthly: ₱1,000 in September, ₱1,100 in October, ₱1,200 in November, and ₱1,300 in December. Overall funnel targets are aligned to the sales goals (₱11M, ₱12M, ₱13M, ₱14M+). A separate Search budget of ₱500/day is included in monthly capacity. September total is shown as ~₱157K projected because the higher budget did not run from September 1.</t>
  </si>
  <si>
    <t>Gulong.ph Ads &amp; Sales Forecast | August–December 2026</t>
  </si>
  <si>
    <t>Updated user summary is the current plan. August sales baseline: ₱10.02M as supplied; September–December sales and funnel figures are targets.</t>
  </si>
  <si>
    <t>Planning targets, not a statistically validated sales forecast. August sales scope is not defined; sales divided by ad spend must not be interpreted as attributed ROAS.</t>
  </si>
  <si>
    <t>August actual</t>
  </si>
  <si>
    <t>Sales baseline / goal</t>
  </si>
  <si>
    <t>PMax campaign count</t>
  </si>
  <si>
    <t>PMax daily budget each</t>
  </si>
  <si>
    <t>PMax daily budget increase</t>
  </si>
  <si>
    <t>PMax monthly capacity</t>
  </si>
  <si>
    <t>Search daily budget</t>
  </si>
  <si>
    <t>Search monthly capacity</t>
  </si>
  <si>
    <t>Total monthly budget capacity</t>
  </si>
  <si>
    <t>Projected spend / planning budget</t>
  </si>
  <si>
    <t>Monthly planning-budget growth</t>
  </si>
  <si>
    <t>Sessions actual / target</t>
  </si>
  <si>
    <t>Campaign users actual / target</t>
  </si>
  <si>
    <t>Add to carts actual / target</t>
  </si>
  <si>
    <t>Checkouts actual / target</t>
  </si>
  <si>
    <t>Purchases actual / target</t>
  </si>
  <si>
    <t>Purchase growth vs August</t>
  </si>
  <si>
    <t>Implied cost per target purchase</t>
  </si>
  <si>
    <t>Purchases at August CPA</t>
  </si>
  <si>
    <t>Target vs August-CPA purchase count</t>
  </si>
  <si>
    <t>Mixed August baseline</t>
  </si>
  <si>
    <t>September: ₱165,000 full-month capacity versus ~₱157,000 projected spend because the higher daily budget did not run from September 1. The updated source does not give enough effective-date detail to independently reproduce ₱157,000; it is retained as a supplied estimate.</t>
  </si>
  <si>
    <t>October capacity is exactly ₱186,000; November ₱195,000; December ₱217,000. PMax daily increases are +10.0%, +9.1% and +8.3%. Monthly total budget changes also reflect calendar days and September’s partial rollout.</t>
  </si>
  <si>
    <t>Funnel targets are preserved from the updated summary. Purchase targets are 206 / 225 / 244 / 263. They imply CPAs of ₱762.14 / ₱826.67 / ₱799.18 / ₱825.10, above August’s ₱633.61. Purchases at August CPA are a separate spend-based sensitivity, not an additional target.</t>
  </si>
  <si>
    <t>December goal is ₱14M+ in the source; calculations use ₱14M as the minimum planning target. Sales targets are not inferred from campaign Average Net Sales. The updated ₱10.02M August baseline supersedes the earlier partial sales proxy for this plan.</t>
  </si>
  <si>
    <t>Yellow inputs control budget scenarios; source funnel targets remain fixed when budgets change, intentionally showing the CPA needed to hit them. The source does not provide an estimated budget-to-sales response or evidence that increased spend causes proportional sales growth.</t>
  </si>
  <si>
    <t>September Purchase Target</t>
  </si>
  <si>
    <t>• Updated plan: September projected ad spend ~₱157K; October–December capacity ₱186K / ₱195K / ₱217K. Purchase targets: 206 / 225 / 244 / 263.</t>
  </si>
  <si>
    <t>CURRENT PLAN: Aug Dec Forecast uses the latest supplied summary: August sales ₱10.02M; September–December goals ₱11M / ₱12M / ₱13M / ₱14M+. Earlier budget and sales-proxy scenarios are hidden as historical context.</t>
  </si>
  <si>
    <t>Updated plan</t>
  </si>
  <si>
    <t>Latest source: Forecast_Updated_Summary_Source.csv, copied from the supplied Downloads summary. Supersedes previous budget assumptions and August sales proxy for planning. Historical June–August actuals and September 1–8 actuals remain unchanged. Approximate source budget labels are reconciled to exact daily capacities in Aug Dec Forecast.</t>
  </si>
</sst>
</file>

<file path=xl/styles.xml><?xml version="1.0" encoding="utf-8"?>
<styleSheet xmlns="http://schemas.openxmlformats.org/spreadsheetml/2006/main">
  <numFmts count="5">
    <numFmt numFmtId="164" formatCode="#,##0"/>
    <numFmt numFmtId="165" formatCode="0.00"/>
    <numFmt numFmtId="166" formatCode="&quot;₱&quot;#,##0.00"/>
    <numFmt numFmtId="167" formatCode="0.0%"/>
    <numFmt numFmtId="168" formatCode="0.00%"/>
  </numFmts>
  <fonts count="7">
    <font>
      <sz val="11"/>
      <color theme="1"/>
      <name val="Calibri"/>
      <family val="2"/>
      <scheme val="minor"/>
    </font>
    <font>
      <b/>
      <sz val="20"/>
      <color rgb="FFFFFFFF"/>
      <name val="Calibri"/>
      <family val="2"/>
      <scheme val="minor"/>
    </font>
    <font>
      <sz val="10"/>
      <color theme="1"/>
      <name val="Calibri"/>
      <family val="2"/>
      <scheme val="minor"/>
    </font>
    <font>
      <b/>
      <sz val="11"/>
      <color theme="1"/>
      <name val="Calibri"/>
      <family val="2"/>
      <scheme val="minor"/>
    </font>
    <font>
      <b/>
      <sz val="11"/>
      <color rgb="FFFFFFFF"/>
      <name val="Calibri"/>
      <family val="2"/>
      <scheme val="minor"/>
    </font>
    <font>
      <b/>
      <sz val="16"/>
      <color theme="1"/>
      <name val="Calibri"/>
      <family val="2"/>
      <scheme val="minor"/>
    </font>
    <font>
      <sz val="11"/>
      <color rgb="FF0000FF"/>
      <name val="Calibri"/>
      <family val="2"/>
      <scheme val="minor"/>
    </font>
  </fonts>
  <fills count="8">
    <fill>
      <patternFill patternType="none"/>
    </fill>
    <fill>
      <patternFill patternType="gray125"/>
    </fill>
    <fill>
      <patternFill patternType="solid">
        <fgColor rgb="FF17365D"/>
        <bgColor indexed="64"/>
      </patternFill>
    </fill>
    <fill>
      <patternFill patternType="solid">
        <fgColor rgb="FFFFF2CC"/>
        <bgColor indexed="64"/>
      </patternFill>
    </fill>
    <fill>
      <patternFill patternType="solid">
        <fgColor rgb="FF2F75B5"/>
        <bgColor indexed="64"/>
      </patternFill>
    </fill>
    <fill>
      <patternFill patternType="solid">
        <fgColor rgb="FFD9EAF7"/>
        <bgColor indexed="64"/>
      </patternFill>
    </fill>
    <fill>
      <patternFill patternType="solid">
        <fgColor rgb="FFFFFFFF"/>
        <bgColor indexed="64"/>
      </patternFill>
    </fill>
    <fill>
      <patternFill patternType="solid">
        <fgColor rgb="FFF2F4F7"/>
        <bgColor indexed="64"/>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xf numFmtId="0" fontId="2" fillId="0" borderId="0" xfId="0" applyFont="1" applyAlignment="1">
      <alignment vertical="center" wrapText="1"/>
    </xf>
    <xf numFmtId="0" fontId="3" fillId="3" borderId="0" xfId="0" applyFont="1" applyFill="1" applyAlignment="1">
      <alignment vertical="center" wrapText="1"/>
    </xf>
    <xf numFmtId="0" fontId="4" fillId="4" borderId="0" xfId="0" applyFont="1" applyFill="1"/>
    <xf numFmtId="164" fontId="5" fillId="5" borderId="0" xfId="0" applyNumberFormat="1" applyFont="1" applyFill="1"/>
    <xf numFmtId="164" fontId="0" fillId="6" borderId="0" xfId="0" applyNumberFormat="1" applyFill="1" applyAlignment="1">
      <alignment vertical="top" wrapText="1"/>
    </xf>
    <xf numFmtId="165" fontId="5" fillId="5" borderId="0" xfId="0" applyNumberFormat="1" applyFont="1" applyFill="1"/>
    <xf numFmtId="166" fontId="5" fillId="5" borderId="0" xfId="0" applyNumberFormat="1" applyFont="1" applyFill="1"/>
    <xf numFmtId="167" fontId="5" fillId="5" borderId="0" xfId="0" applyNumberFormat="1" applyFont="1" applyFill="1"/>
    <xf numFmtId="0" fontId="4" fillId="2" borderId="0" xfId="0" applyFont="1" applyFill="1" applyAlignment="1">
      <alignment vertical="center" wrapText="1"/>
    </xf>
    <xf numFmtId="0" fontId="0" fillId="7" borderId="0" xfId="0" applyFill="1" applyAlignment="1">
      <alignment vertical="top" wrapText="1"/>
    </xf>
    <xf numFmtId="166" fontId="0" fillId="7" borderId="0" xfId="0" applyNumberFormat="1" applyFill="1" applyAlignment="1">
      <alignment vertical="top" wrapText="1"/>
    </xf>
    <xf numFmtId="168" fontId="0" fillId="7" borderId="0" xfId="0" applyNumberFormat="1" applyFill="1" applyAlignment="1">
      <alignment vertical="top" wrapText="1"/>
    </xf>
    <xf numFmtId="0" fontId="0" fillId="6" borderId="0" xfId="0" applyFill="1" applyAlignment="1">
      <alignment vertical="top" wrapText="1"/>
    </xf>
    <xf numFmtId="168" fontId="0" fillId="6" borderId="0" xfId="0" applyNumberFormat="1" applyFill="1" applyAlignment="1">
      <alignment vertical="top" wrapText="1"/>
    </xf>
    <xf numFmtId="166" fontId="0" fillId="6" borderId="0" xfId="0" applyNumberFormat="1" applyFill="1" applyAlignment="1">
      <alignment vertical="top" wrapText="1"/>
    </xf>
    <xf numFmtId="165" fontId="0" fillId="7" borderId="0" xfId="0" applyNumberFormat="1" applyFill="1" applyAlignment="1">
      <alignment vertical="top" wrapText="1"/>
    </xf>
    <xf numFmtId="0" fontId="0" fillId="0" borderId="0" xfId="0" applyAlignment="1">
      <alignment vertical="top" wrapText="1"/>
    </xf>
    <xf numFmtId="164" fontId="0" fillId="7" borderId="0" xfId="0" applyNumberFormat="1" applyFill="1" applyAlignment="1">
      <alignment vertical="top" wrapText="1"/>
    </xf>
    <xf numFmtId="166" fontId="6" fillId="3" borderId="0" xfId="0" applyNumberFormat="1" applyFont="1" applyFill="1"/>
    <xf numFmtId="167" fontId="0" fillId="6" borderId="0" xfId="0" applyNumberFormat="1" applyFill="1" applyAlignment="1">
      <alignment vertical="top" wrapText="1"/>
    </xf>
    <xf numFmtId="165" fontId="0" fillId="6" borderId="0" xfId="0" applyNumberFormat="1" applyFill="1" applyAlignment="1">
      <alignment vertical="top" wrapText="1"/>
    </xf>
    <xf numFmtId="167" fontId="6" fillId="3" borderId="0" xfId="0" applyNumberFormat="1" applyFont="1" applyFill="1"/>
    <xf numFmtId="167" fontId="0" fillId="7" borderId="0" xfId="0" applyNumberForma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Purchase change by campaign</a:t>
            </a:r>
          </a:p>
        </c:rich>
      </c:tx>
      <c:layout/>
    </c:title>
    <c:plotArea>
      <c:layout/>
      <c:barChart>
        <c:barDir val="bar"/>
        <c:grouping val="clustered"/>
        <c:ser>
          <c:idx val="0"/>
          <c:order val="0"/>
          <c:spPr>
            <a:solidFill>
              <a:srgbClr val="2F75B5"/>
            </a:solidFill>
          </c:spPr>
          <c:cat>
            <c:strRef>
              <c:f>'Executive Summary'!$A$30:$A$37</c:f>
              <c:strCache>
                <c:ptCount val="8"/>
                <c:pt idx="0">
                  <c:v>Michelin - PMax PH</c:v>
                </c:pt>
                <c:pt idx="1">
                  <c:v>BFG Advantage Touring – PMax PH</c:v>
                </c:pt>
                <c:pt idx="2">
                  <c:v>BFG - PMax (Traffic)</c:v>
                </c:pt>
                <c:pt idx="3">
                  <c:v>All Brand - PMax PH</c:v>
                </c:pt>
                <c:pt idx="4">
                  <c:v>Gulongph Branding - PMax</c:v>
                </c:pt>
                <c:pt idx="5">
                  <c:v>SRC | Michelin | PH</c:v>
                </c:pt>
                <c:pt idx="6">
                  <c:v>Michelin PE Japan - PMax PH</c:v>
                </c:pt>
                <c:pt idx="7">
                  <c:v>SRC | All Brands | PH</c:v>
                </c:pt>
              </c:strCache>
            </c:strRef>
          </c:cat>
          <c:val>
            <c:numRef>
              <c:f>'Executive Summary'!$D$30:$D$37</c:f>
              <c:numCache>
                <c:formatCode>General</c:formatCode>
                <c:ptCount val="8"/>
                <c:pt idx="0">
                  <c:v>85</c:v>
                </c:pt>
                <c:pt idx="1">
                  <c:v>14</c:v>
                </c:pt>
                <c:pt idx="2">
                  <c:v>13</c:v>
                </c:pt>
                <c:pt idx="3">
                  <c:v>9</c:v>
                </c:pt>
                <c:pt idx="4">
                  <c:v>5</c:v>
                </c:pt>
                <c:pt idx="5">
                  <c:v>0</c:v>
                </c:pt>
                <c:pt idx="6">
                  <c:v>-2</c:v>
                </c:pt>
                <c:pt idx="7">
                  <c:v>-3</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August purchases and September–December targets</a:t>
            </a:r>
          </a:p>
        </c:rich>
      </c:tx>
      <c:layout/>
    </c:title>
    <c:plotArea>
      <c:layout/>
      <c:barChart>
        <c:barDir val="col"/>
        <c:grouping val="clustered"/>
        <c:ser>
          <c:idx val="0"/>
          <c:order val="0"/>
          <c:tx>
            <c:v>Purchases actual / target</c:v>
          </c:tx>
          <c:spPr>
            <a:solidFill>
              <a:srgbClr val="2F75B5"/>
            </a:solidFill>
          </c:spPr>
          <c:cat>
            <c:strRef>
              <c:f>'Aug Dec Forecast'!$B$5:$F$5</c:f>
              <c:strCache>
                <c:ptCount val="5"/>
                <c:pt idx="0">
                  <c:v>August actual</c:v>
                </c:pt>
                <c:pt idx="1">
                  <c:v>September</c:v>
                </c:pt>
                <c:pt idx="2">
                  <c:v>October</c:v>
                </c:pt>
                <c:pt idx="3">
                  <c:v>November</c:v>
                </c:pt>
                <c:pt idx="4">
                  <c:v>December</c:v>
                </c:pt>
              </c:strCache>
            </c:strRef>
          </c:cat>
          <c:val>
            <c:numRef>
              <c:f>'Aug Dec Forecast'!$B$21:$F$21</c:f>
              <c:numCache>
                <c:formatCode>General</c:formatCode>
                <c:ptCount val="5"/>
                <c:pt idx="0">
                  <c:v>188</c:v>
                </c:pt>
                <c:pt idx="1">
                  <c:v>206</c:v>
                </c:pt>
                <c:pt idx="2">
                  <c:v>225</c:v>
                </c:pt>
                <c:pt idx="3">
                  <c:v>244</c:v>
                </c:pt>
                <c:pt idx="4">
                  <c:v>263</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Sales goals | September–December</a:t>
            </a:r>
          </a:p>
        </c:rich>
      </c:tx>
      <c:layout/>
    </c:title>
    <c:plotArea>
      <c:layout/>
      <c:barChart>
        <c:barDir val="col"/>
        <c:grouping val="clustered"/>
        <c:ser>
          <c:idx val="0"/>
          <c:order val="0"/>
          <c:tx>
            <c:v>Monthly sales target</c:v>
          </c:tx>
          <c:spPr>
            <a:solidFill>
              <a:srgbClr val="2F75B5"/>
            </a:solidFill>
          </c:spPr>
          <c:dLbls>
            <c:numFmt formatCode="0,,&quot;M&quot;" sourceLinked="0"/>
            <c:showVal val="1"/>
          </c:dLbls>
          <c:cat>
            <c:strRef>
              <c:f>'Sep Dec Forecast'!$B$13:$E$13</c:f>
              <c:strCache>
                <c:ptCount val="4"/>
                <c:pt idx="0">
                  <c:v>September</c:v>
                </c:pt>
                <c:pt idx="1">
                  <c:v>October</c:v>
                </c:pt>
                <c:pt idx="2">
                  <c:v>November</c:v>
                </c:pt>
                <c:pt idx="3">
                  <c:v>December</c:v>
                </c:pt>
              </c:strCache>
            </c:strRef>
          </c:cat>
          <c:val>
            <c:numRef>
              <c:f>'Sep Dec Forecast'!$B$20:$E$20</c:f>
              <c:numCache>
                <c:formatCode>General</c:formatCode>
                <c:ptCount val="4"/>
                <c:pt idx="0">
                  <c:v>11000000</c:v>
                </c:pt>
                <c:pt idx="1">
                  <c:v>12000000</c:v>
                </c:pt>
                <c:pt idx="2">
                  <c:v>13000000</c:v>
                </c:pt>
                <c:pt idx="3">
                  <c:v>14000000</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0,,&quot;M&quot;" sourceLinked="0"/>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September forecast | actuals through September 8</a:t>
            </a:r>
          </a:p>
        </c:rich>
      </c:tx>
      <c:layout/>
    </c:title>
    <c:plotArea>
      <c:layout/>
      <c:barChart>
        <c:barDir val="bar"/>
        <c:grouping val="clustered"/>
        <c:ser>
          <c:idx val="0"/>
          <c:order val="0"/>
          <c:spPr>
            <a:solidFill>
              <a:srgbClr val="2F75B5"/>
            </a:solidFill>
          </c:spPr>
          <c:dLbls>
            <c:numFmt formatCode="0.0" sourceLinked="0"/>
            <c:showVal val="1"/>
          </c:dLbls>
          <c:cat>
            <c:strRef>
              <c:f>'September Forecast'!$A$13:$A$16</c:f>
              <c:strCache>
                <c:ptCount val="4"/>
                <c:pt idx="0">
                  <c:v>Downside: MTD CPA +20%</c:v>
                </c:pt>
                <c:pt idx="1">
                  <c:v>Base: maintain MTD CPA</c:v>
                </c:pt>
                <c:pt idx="2">
                  <c:v>Upside: MTD CPA −20%</c:v>
                </c:pt>
                <c:pt idx="3">
                  <c:v>Reference: August CPA</c:v>
                </c:pt>
              </c:strCache>
            </c:strRef>
          </c:cat>
          <c:val>
            <c:numRef>
              <c:f>'September Forecast'!$E$13:$E$16</c:f>
              <c:numCache>
                <c:formatCode>General</c:formatCode>
                <c:ptCount val="4"/>
                <c:pt idx="0">
                  <c:v>164.58333333333334</c:v>
                </c:pt>
                <c:pt idx="1">
                  <c:v>187.5</c:v>
                </c:pt>
                <c:pt idx="2">
                  <c:v>221.875</c:v>
                </c:pt>
                <c:pt idx="3">
                  <c:v>219.05201923787268</c:v>
                </c:pt>
              </c:numCache>
            </c:numRef>
          </c:val>
        </c:ser>
        <c:axId val="50040001"/>
        <c:axId val="50040002"/>
      </c:barChart>
      <c:catAx>
        <c:axId val="50040001"/>
        <c:scaling>
          <c:orientation val="minMax"/>
        </c:scaling>
        <c:axPos val="l"/>
        <c:tickLblPos val="nextTo"/>
        <c:crossAx val="50040002"/>
        <c:crosses val="autoZero"/>
        <c:auto val="1"/>
        <c:lblAlgn val="ctr"/>
        <c:lblOffset val="100"/>
      </c:catAx>
      <c:valAx>
        <c:axId val="50040002"/>
        <c:scaling>
          <c:orientation val="minMax"/>
        </c:scaling>
        <c:axPos val="b"/>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27</xdr:row>
      <xdr:rowOff>0</xdr:rowOff>
    </xdr:from>
    <xdr:to>
      <xdr:col>12</xdr:col>
      <xdr:colOff>476250</xdr:colOff>
      <xdr:row>36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42</xdr:row>
      <xdr:rowOff>0</xdr:rowOff>
    </xdr:from>
    <xdr:to>
      <xdr:col>4</xdr:col>
      <xdr:colOff>1571625</xdr:colOff>
      <xdr:row>58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44</xdr:row>
      <xdr:rowOff>0</xdr:rowOff>
    </xdr:from>
    <xdr:to>
      <xdr:col>4</xdr:col>
      <xdr:colOff>714375</xdr:colOff>
      <xdr:row>60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31</xdr:row>
      <xdr:rowOff>0</xdr:rowOff>
    </xdr:from>
    <xdr:to>
      <xdr:col>4</xdr:col>
      <xdr:colOff>942975</xdr:colOff>
      <xdr:row>47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pageSetUpPr fitToPage="1"/>
  </sheetPr>
  <dimension ref="A1:L49"/>
  <sheetViews>
    <sheetView showGridLines="0" tabSelected="1"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8.7109375" customWidth="1"/>
    <col min="2" max="12" width="15.7109375" customWidth="1"/>
  </cols>
  <sheetData>
    <row r="1" spans="1:12" ht="32" customHeight="1">
      <c r="A1" s="1" t="s">
        <v>0</v>
      </c>
      <c r="B1" s="1"/>
      <c r="C1" s="1"/>
      <c r="D1" s="1"/>
      <c r="E1" s="1"/>
      <c r="F1" s="1"/>
      <c r="G1" s="1"/>
      <c r="H1" s="1"/>
      <c r="I1" s="1"/>
      <c r="J1" s="1"/>
      <c r="K1" s="1"/>
      <c r="L1" s="1"/>
    </row>
    <row r="2" spans="1:12">
      <c r="A2" s="2" t="s">
        <v>1</v>
      </c>
      <c r="B2" s="2"/>
      <c r="C2" s="2"/>
      <c r="D2" s="2"/>
      <c r="E2" s="2"/>
      <c r="F2" s="2"/>
      <c r="G2" s="2"/>
      <c r="H2" s="2"/>
      <c r="I2" s="2"/>
      <c r="J2" s="2"/>
      <c r="K2" s="2"/>
      <c r="L2" s="2"/>
    </row>
    <row r="3" spans="1:12" ht="34" customHeight="1">
      <c r="A3" s="3" t="s">
        <v>2</v>
      </c>
      <c r="B3" s="3"/>
      <c r="C3" s="3"/>
      <c r="D3" s="3"/>
      <c r="E3" s="3"/>
      <c r="F3" s="3"/>
      <c r="G3" s="3"/>
      <c r="H3" s="3"/>
      <c r="I3" s="3"/>
      <c r="J3" s="3"/>
      <c r="K3" s="3"/>
      <c r="L3" s="3"/>
    </row>
    <row r="5" spans="1:12">
      <c r="A5" s="4" t="s">
        <v>3</v>
      </c>
      <c r="B5" s="4"/>
      <c r="C5" s="4"/>
      <c r="E5" s="4" t="s">
        <v>4</v>
      </c>
      <c r="F5" s="4"/>
      <c r="G5" s="4"/>
      <c r="I5" s="4" t="s">
        <v>649</v>
      </c>
      <c r="J5" s="4"/>
      <c r="K5" s="4"/>
    </row>
    <row r="6" spans="1:12" ht="28" customHeight="1">
      <c r="A6" s="5">
        <v>188</v>
      </c>
      <c r="B6" s="5"/>
      <c r="C6" s="5"/>
      <c r="E6" s="5">
        <v>50</v>
      </c>
      <c r="F6" s="5"/>
      <c r="G6" s="5"/>
      <c r="I6" s="6">
        <v>206</v>
      </c>
      <c r="J6" s="7"/>
      <c r="K6" s="7"/>
    </row>
    <row r="8" spans="1:12">
      <c r="A8" s="4" t="s">
        <v>6</v>
      </c>
      <c r="B8" s="4"/>
      <c r="C8" s="4"/>
      <c r="E8" s="4" t="s">
        <v>7</v>
      </c>
      <c r="F8" s="4"/>
      <c r="G8" s="4"/>
      <c r="I8" s="4" t="s">
        <v>8</v>
      </c>
      <c r="J8" s="4"/>
      <c r="K8" s="4"/>
    </row>
    <row r="9" spans="1:12" ht="28" customHeight="1">
      <c r="A9" s="8">
        <v>633.6127659574468</v>
      </c>
      <c r="B9" s="8"/>
      <c r="C9" s="8"/>
      <c r="E9" s="8">
        <v>779.0074000000001</v>
      </c>
      <c r="F9" s="8"/>
      <c r="G9" s="8"/>
      <c r="I9" s="9">
        <v>0.2294692308208923</v>
      </c>
      <c r="J9" s="9"/>
      <c r="K9" s="9"/>
    </row>
    <row r="11" spans="1:12">
      <c r="A11" s="4" t="s">
        <v>9</v>
      </c>
      <c r="B11" s="4"/>
      <c r="C11" s="4"/>
      <c r="D11" s="4"/>
      <c r="E11" s="4"/>
      <c r="F11" s="4"/>
      <c r="G11" s="4"/>
      <c r="H11" s="4"/>
      <c r="I11" s="4"/>
      <c r="J11" s="4"/>
      <c r="K11" s="4"/>
      <c r="L11" s="4"/>
    </row>
    <row r="12" spans="1:12" ht="32" customHeight="1">
      <c r="A12" s="10" t="s">
        <v>10</v>
      </c>
      <c r="B12" s="10" t="s">
        <v>11</v>
      </c>
      <c r="C12" s="10" t="s">
        <v>12</v>
      </c>
      <c r="D12" s="10" t="s">
        <v>13</v>
      </c>
      <c r="E12" s="10" t="s">
        <v>14</v>
      </c>
      <c r="F12" s="10" t="s">
        <v>15</v>
      </c>
    </row>
    <row r="13" spans="1:12">
      <c r="A13" s="11" t="s">
        <v>16</v>
      </c>
      <c r="B13" s="12">
        <v>61601.33</v>
      </c>
      <c r="C13" s="12">
        <v>95066.91</v>
      </c>
      <c r="D13" s="12">
        <v>119119.2</v>
      </c>
      <c r="E13" s="13">
        <v>0.5432606731055969</v>
      </c>
      <c r="F13" s="13">
        <v>0.2530038054250421</v>
      </c>
    </row>
    <row r="14" spans="1:12">
      <c r="A14" s="14" t="s">
        <v>17</v>
      </c>
      <c r="B14" s="6">
        <v>9</v>
      </c>
      <c r="C14" s="6">
        <v>67</v>
      </c>
      <c r="D14" s="6">
        <v>188</v>
      </c>
      <c r="E14" s="15">
        <v>6.444444444444445</v>
      </c>
      <c r="F14" s="15">
        <v>1.805970149253731</v>
      </c>
    </row>
    <row r="15" spans="1:12">
      <c r="A15" s="11" t="s">
        <v>18</v>
      </c>
      <c r="B15" s="12">
        <v>6844.592222222223</v>
      </c>
      <c r="C15" s="12">
        <v>1418.909104477612</v>
      </c>
      <c r="D15" s="12">
        <v>633.6127659574468</v>
      </c>
      <c r="E15" s="13">
        <v>-0.792696327493278</v>
      </c>
      <c r="F15" s="13">
        <v>-0.5534507714708626</v>
      </c>
    </row>
    <row r="16" spans="1:12">
      <c r="A16" s="14" t="s">
        <v>19</v>
      </c>
      <c r="B16" s="6">
        <v>1965</v>
      </c>
      <c r="C16" s="6">
        <v>19255</v>
      </c>
      <c r="D16" s="6">
        <v>155599</v>
      </c>
      <c r="E16" s="15">
        <v>8.798982188295165</v>
      </c>
      <c r="F16" s="15">
        <v>7.080965982861594</v>
      </c>
    </row>
    <row r="17" spans="1:12">
      <c r="A17" s="11" t="s">
        <v>20</v>
      </c>
      <c r="B17" s="13">
        <v>0.004580152671755725</v>
      </c>
      <c r="C17" s="13">
        <v>0.00347961568423786</v>
      </c>
      <c r="D17" s="13">
        <v>0.001208233986079602</v>
      </c>
      <c r="E17" s="13">
        <v>-0.001100536987517865</v>
      </c>
      <c r="F17" s="13">
        <v>-0.002271381698158258</v>
      </c>
    </row>
    <row r="18" spans="1:12">
      <c r="A18" s="14" t="s">
        <v>21</v>
      </c>
      <c r="B18" s="16">
        <v>2053.377666666667</v>
      </c>
      <c r="C18" s="16">
        <v>3066.674516129032</v>
      </c>
      <c r="D18" s="16">
        <v>3842.554838709677</v>
      </c>
      <c r="E18" s="15">
        <v>0.4934780707473518</v>
      </c>
      <c r="F18" s="15">
        <v>0.2530038054250421</v>
      </c>
    </row>
    <row r="19" spans="1:12">
      <c r="A19" s="11" t="s">
        <v>22</v>
      </c>
      <c r="B19" s="17">
        <v>0.3</v>
      </c>
      <c r="C19" s="17">
        <v>2.161290322580645</v>
      </c>
      <c r="D19" s="17">
        <v>6.064516129032258</v>
      </c>
      <c r="E19" s="13">
        <v>6.204301075268817</v>
      </c>
      <c r="F19" s="13">
        <v>1.805970149253731</v>
      </c>
    </row>
    <row r="21" spans="1:12">
      <c r="A21" s="4" t="s">
        <v>23</v>
      </c>
      <c r="B21" s="4"/>
      <c r="C21" s="4"/>
      <c r="D21" s="4"/>
      <c r="E21" s="4"/>
      <c r="F21" s="4"/>
      <c r="G21" s="4"/>
      <c r="H21" s="4"/>
      <c r="I21" s="4"/>
      <c r="J21" s="4"/>
      <c r="K21" s="4"/>
      <c r="L21" s="4"/>
    </row>
    <row r="22" spans="1:12" ht="31" customHeight="1">
      <c r="A22" s="18" t="s">
        <v>24</v>
      </c>
      <c r="B22" s="18"/>
      <c r="C22" s="18"/>
      <c r="D22" s="18"/>
      <c r="E22" s="18"/>
      <c r="F22" s="18"/>
      <c r="G22" s="18"/>
      <c r="H22" s="18"/>
      <c r="I22" s="18"/>
      <c r="J22" s="18"/>
      <c r="K22" s="18"/>
      <c r="L22" s="18"/>
    </row>
    <row r="23" spans="1:12" ht="31" customHeight="1">
      <c r="A23" s="18" t="s">
        <v>25</v>
      </c>
      <c r="B23" s="18"/>
      <c r="C23" s="18"/>
      <c r="D23" s="18"/>
      <c r="E23" s="18"/>
      <c r="F23" s="18"/>
      <c r="G23" s="18"/>
      <c r="H23" s="18"/>
      <c r="I23" s="18"/>
      <c r="J23" s="18"/>
      <c r="K23" s="18"/>
      <c r="L23" s="18"/>
    </row>
    <row r="24" spans="1:12" ht="31" customHeight="1">
      <c r="A24" s="18" t="s">
        <v>26</v>
      </c>
      <c r="B24" s="18"/>
      <c r="C24" s="18"/>
      <c r="D24" s="18"/>
      <c r="E24" s="18"/>
      <c r="F24" s="18"/>
      <c r="G24" s="18"/>
      <c r="H24" s="18"/>
      <c r="I24" s="18"/>
      <c r="J24" s="18"/>
      <c r="K24" s="18"/>
      <c r="L24" s="18"/>
    </row>
    <row r="25" spans="1:12" ht="31" customHeight="1">
      <c r="A25" s="18" t="s">
        <v>650</v>
      </c>
      <c r="B25" s="18"/>
      <c r="C25" s="18"/>
      <c r="D25" s="18"/>
      <c r="E25" s="18"/>
      <c r="F25" s="18"/>
      <c r="G25" s="18"/>
      <c r="H25" s="18"/>
      <c r="I25" s="18"/>
      <c r="J25" s="18"/>
      <c r="K25" s="18"/>
      <c r="L25" s="18"/>
    </row>
    <row r="26" spans="1:12" ht="31" customHeight="1">
      <c r="A26" s="18" t="s">
        <v>28</v>
      </c>
      <c r="B26" s="18"/>
      <c r="C26" s="18"/>
      <c r="D26" s="18"/>
      <c r="E26" s="18"/>
      <c r="F26" s="18"/>
      <c r="G26" s="18"/>
      <c r="H26" s="18"/>
      <c r="I26" s="18"/>
      <c r="J26" s="18"/>
      <c r="K26" s="18"/>
      <c r="L26" s="18"/>
    </row>
    <row r="28" spans="1:12">
      <c r="A28" s="4" t="s">
        <v>29</v>
      </c>
      <c r="B28" s="4"/>
      <c r="C28" s="4"/>
      <c r="D28" s="4"/>
      <c r="E28" s="4"/>
      <c r="F28" s="4"/>
    </row>
    <row r="29" spans="1:12" ht="30" customHeight="1">
      <c r="A29" s="10" t="s">
        <v>30</v>
      </c>
      <c r="B29" s="10" t="s">
        <v>31</v>
      </c>
      <c r="C29" s="10" t="s">
        <v>32</v>
      </c>
      <c r="D29" s="10" t="s">
        <v>33</v>
      </c>
    </row>
    <row r="30" spans="1:12" ht="30" customHeight="1">
      <c r="A30" s="14" t="s">
        <v>34</v>
      </c>
      <c r="B30" s="6">
        <v>34</v>
      </c>
      <c r="C30" s="6">
        <v>119</v>
      </c>
      <c r="D30" s="6">
        <v>85</v>
      </c>
    </row>
    <row r="31" spans="1:12" ht="30" customHeight="1">
      <c r="A31" s="11" t="s">
        <v>35</v>
      </c>
      <c r="B31" s="19">
        <v>0</v>
      </c>
      <c r="C31" s="19">
        <v>14</v>
      </c>
      <c r="D31" s="19">
        <v>14</v>
      </c>
    </row>
    <row r="32" spans="1:12" ht="30" customHeight="1">
      <c r="A32" s="14" t="s">
        <v>36</v>
      </c>
      <c r="B32" s="6">
        <v>0</v>
      </c>
      <c r="C32" s="6">
        <v>13</v>
      </c>
      <c r="D32" s="6">
        <v>13</v>
      </c>
    </row>
    <row r="33" spans="1:12" ht="30" customHeight="1">
      <c r="A33" s="11" t="s">
        <v>37</v>
      </c>
      <c r="B33" s="19">
        <v>18</v>
      </c>
      <c r="C33" s="19">
        <v>27</v>
      </c>
      <c r="D33" s="19">
        <v>9</v>
      </c>
    </row>
    <row r="34" spans="1:12" ht="30" customHeight="1">
      <c r="A34" s="14" t="s">
        <v>38</v>
      </c>
      <c r="B34" s="6">
        <v>0</v>
      </c>
      <c r="C34" s="6">
        <v>5</v>
      </c>
      <c r="D34" s="6">
        <v>5</v>
      </c>
    </row>
    <row r="35" spans="1:12" ht="30" customHeight="1">
      <c r="A35" s="11" t="s">
        <v>39</v>
      </c>
      <c r="B35" s="19">
        <v>0</v>
      </c>
      <c r="C35" s="19">
        <v>0</v>
      </c>
      <c r="D35" s="19">
        <v>0</v>
      </c>
    </row>
    <row r="36" spans="1:12" ht="30" customHeight="1">
      <c r="A36" s="14" t="s">
        <v>40</v>
      </c>
      <c r="B36" s="6">
        <v>2</v>
      </c>
      <c r="C36" s="6">
        <v>0</v>
      </c>
      <c r="D36" s="6">
        <v>-2</v>
      </c>
    </row>
    <row r="37" spans="1:12" ht="30" customHeight="1">
      <c r="A37" s="11" t="s">
        <v>41</v>
      </c>
      <c r="B37" s="19">
        <v>13</v>
      </c>
      <c r="C37" s="19">
        <v>10</v>
      </c>
      <c r="D37" s="19">
        <v>-3</v>
      </c>
    </row>
    <row r="48" spans="1:12">
      <c r="A48" s="3" t="s">
        <v>651</v>
      </c>
      <c r="B48" s="3"/>
      <c r="C48" s="3"/>
      <c r="D48" s="3"/>
      <c r="E48" s="3"/>
      <c r="F48" s="3"/>
      <c r="G48" s="3"/>
      <c r="H48" s="3"/>
      <c r="I48" s="3"/>
      <c r="J48" s="3"/>
      <c r="K48" s="3"/>
      <c r="L48" s="3"/>
    </row>
    <row r="49" spans="1:12">
      <c r="A49" s="3"/>
      <c r="B49" s="3"/>
      <c r="C49" s="3"/>
      <c r="D49" s="3"/>
      <c r="E49" s="3"/>
      <c r="F49" s="3"/>
      <c r="G49" s="3"/>
      <c r="H49" s="3"/>
      <c r="I49" s="3"/>
      <c r="J49" s="3"/>
      <c r="K49" s="3"/>
      <c r="L49" s="3"/>
    </row>
  </sheetData>
  <mergeCells count="24">
    <mergeCell ref="A1:L1"/>
    <mergeCell ref="A2:L2"/>
    <mergeCell ref="A3:L3"/>
    <mergeCell ref="A5:C5"/>
    <mergeCell ref="A6:C6"/>
    <mergeCell ref="E5:G5"/>
    <mergeCell ref="E6:G6"/>
    <mergeCell ref="I5:K5"/>
    <mergeCell ref="I6:K6"/>
    <mergeCell ref="A8:C8"/>
    <mergeCell ref="A9:C9"/>
    <mergeCell ref="E8:G8"/>
    <mergeCell ref="E9:G9"/>
    <mergeCell ref="I8:K8"/>
    <mergeCell ref="I9:K9"/>
    <mergeCell ref="A11:L11"/>
    <mergeCell ref="A21:L21"/>
    <mergeCell ref="A22:L22"/>
    <mergeCell ref="A23:L23"/>
    <mergeCell ref="A24:L24"/>
    <mergeCell ref="A25:L25"/>
    <mergeCell ref="A26:L26"/>
    <mergeCell ref="A28:F28"/>
    <mergeCell ref="A48:L49"/>
  </mergeCells>
  <pageMargins left="0.7" right="0.7" top="0.75" bottom="0.75" header="0.3" footer="0.3"/>
  <pageSetup fitToHeight="0" orientation="landscape"/>
  <drawing r:id="rId1"/>
</worksheet>
</file>

<file path=xl/worksheets/sheet2.xml><?xml version="1.0" encoding="utf-8"?>
<worksheet xmlns="http://schemas.openxmlformats.org/spreadsheetml/2006/main" xmlns:r="http://schemas.openxmlformats.org/officeDocument/2006/relationships">
  <sheetPr>
    <pageSetUpPr fitToPage="1"/>
  </sheetPr>
  <dimension ref="A1:L4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3.7109375" customWidth="1"/>
    <col min="2" max="6" width="24.7109375" customWidth="1"/>
    <col min="7" max="12" width="17.7109375" customWidth="1"/>
  </cols>
  <sheetData>
    <row r="1" spans="1:12" ht="34" customHeight="1">
      <c r="A1" s="1" t="s">
        <v>620</v>
      </c>
      <c r="B1" s="1"/>
      <c r="C1" s="1"/>
      <c r="D1" s="1"/>
      <c r="E1" s="1"/>
      <c r="F1" s="1"/>
      <c r="G1" s="1"/>
      <c r="H1" s="1"/>
      <c r="I1" s="1"/>
      <c r="J1" s="1"/>
      <c r="K1" s="1"/>
      <c r="L1" s="1"/>
    </row>
    <row r="2" spans="1:12" ht="30" customHeight="1">
      <c r="A2" s="2" t="s">
        <v>621</v>
      </c>
      <c r="B2" s="2"/>
      <c r="C2" s="2"/>
      <c r="D2" s="2"/>
      <c r="E2" s="2"/>
      <c r="F2" s="2"/>
      <c r="G2" s="2"/>
      <c r="H2" s="2"/>
      <c r="I2" s="2"/>
      <c r="J2" s="2"/>
      <c r="K2" s="2"/>
      <c r="L2" s="2"/>
    </row>
    <row r="3" spans="1:12" ht="36" customHeight="1">
      <c r="A3" s="3" t="s">
        <v>622</v>
      </c>
      <c r="B3" s="3"/>
      <c r="C3" s="3"/>
      <c r="D3" s="3"/>
      <c r="E3" s="3"/>
      <c r="F3" s="3"/>
      <c r="G3" s="3"/>
      <c r="H3" s="3"/>
      <c r="I3" s="3"/>
      <c r="J3" s="3"/>
      <c r="K3" s="3"/>
      <c r="L3" s="3"/>
    </row>
    <row r="5" spans="1:12" ht="32" customHeight="1">
      <c r="A5" s="10" t="s">
        <v>10</v>
      </c>
      <c r="B5" s="10" t="s">
        <v>623</v>
      </c>
      <c r="C5" s="10" t="s">
        <v>329</v>
      </c>
      <c r="D5" s="10" t="s">
        <v>502</v>
      </c>
      <c r="E5" s="10" t="s">
        <v>503</v>
      </c>
      <c r="F5" s="10" t="s">
        <v>504</v>
      </c>
    </row>
    <row r="6" spans="1:12">
      <c r="A6" s="14" t="s">
        <v>624</v>
      </c>
      <c r="B6" s="16">
        <v>10020000</v>
      </c>
      <c r="C6" s="16">
        <v>11000000</v>
      </c>
      <c r="D6" s="16">
        <v>12000000</v>
      </c>
      <c r="E6" s="16">
        <v>13000000</v>
      </c>
      <c r="F6" s="16">
        <v>14000000</v>
      </c>
    </row>
    <row r="7" spans="1:12">
      <c r="A7" s="14" t="s">
        <v>625</v>
      </c>
      <c r="C7" s="6">
        <v>5</v>
      </c>
      <c r="D7" s="6">
        <v>5</v>
      </c>
      <c r="E7" s="6">
        <v>5</v>
      </c>
      <c r="F7" s="6">
        <v>5</v>
      </c>
    </row>
    <row r="8" spans="1:12">
      <c r="A8" s="14" t="s">
        <v>626</v>
      </c>
      <c r="C8" s="20">
        <v>1000</v>
      </c>
      <c r="D8" s="20">
        <v>1100</v>
      </c>
      <c r="E8" s="20">
        <v>1200</v>
      </c>
      <c r="F8" s="20">
        <v>1300</v>
      </c>
    </row>
    <row r="9" spans="1:12">
      <c r="A9" s="14" t="s">
        <v>627</v>
      </c>
      <c r="C9" s="18" t="s">
        <v>643</v>
      </c>
      <c r="D9" s="21">
        <f>D8/C8-1</f>
        <v>0.10000000000000009</v>
      </c>
      <c r="E9" s="21">
        <f>E8/D8-1</f>
        <v>0.09090909090909083</v>
      </c>
      <c r="F9" s="21">
        <f>F8/E8-1</f>
        <v>0.08333333333333326</v>
      </c>
    </row>
    <row r="10" spans="1:12">
      <c r="A10" s="14" t="s">
        <v>505</v>
      </c>
      <c r="C10" s="6">
        <v>30</v>
      </c>
      <c r="D10" s="6">
        <v>31</v>
      </c>
      <c r="E10" s="6">
        <v>30</v>
      </c>
      <c r="F10" s="6">
        <v>31</v>
      </c>
    </row>
    <row r="11" spans="1:12">
      <c r="A11" s="14" t="s">
        <v>628</v>
      </c>
      <c r="C11" s="16">
        <f>C7*C8*C10</f>
        <v>150000</v>
      </c>
      <c r="D11" s="16">
        <f>D7*D8*D10</f>
        <v>170500</v>
      </c>
      <c r="E11" s="16">
        <f>E7*E8*E10</f>
        <v>180000</v>
      </c>
      <c r="F11" s="16">
        <f>F7*F8*F10</f>
        <v>201500</v>
      </c>
    </row>
    <row r="12" spans="1:12">
      <c r="A12" s="14" t="s">
        <v>629</v>
      </c>
      <c r="C12" s="20">
        <v>500</v>
      </c>
      <c r="D12" s="20">
        <v>500</v>
      </c>
      <c r="E12" s="20">
        <v>500</v>
      </c>
      <c r="F12" s="20">
        <v>500</v>
      </c>
    </row>
    <row r="13" spans="1:12">
      <c r="A13" s="14" t="s">
        <v>630</v>
      </c>
      <c r="C13" s="16">
        <f>C12*C10</f>
        <v>15000</v>
      </c>
      <c r="D13" s="16">
        <f>D12*D10</f>
        <v>15500</v>
      </c>
      <c r="E13" s="16">
        <f>E12*E10</f>
        <v>15000</v>
      </c>
      <c r="F13" s="16">
        <f>F12*F10</f>
        <v>15500</v>
      </c>
    </row>
    <row r="14" spans="1:12">
      <c r="A14" s="14" t="s">
        <v>631</v>
      </c>
      <c r="B14" s="16">
        <v>119119.2</v>
      </c>
      <c r="C14" s="16">
        <f>C11+C13</f>
        <v>165000</v>
      </c>
      <c r="D14" s="16">
        <f>D11+D13</f>
        <v>186000</v>
      </c>
      <c r="E14" s="16">
        <f>E11+E13</f>
        <v>195000</v>
      </c>
      <c r="F14" s="16">
        <f>F11+F13</f>
        <v>217000</v>
      </c>
    </row>
    <row r="15" spans="1:12">
      <c r="A15" s="14" t="s">
        <v>632</v>
      </c>
      <c r="B15" s="16">
        <v>119119.2</v>
      </c>
      <c r="C15" s="20">
        <v>157000</v>
      </c>
      <c r="D15" s="16">
        <f>D14</f>
        <v>186000</v>
      </c>
      <c r="E15" s="16">
        <f>E14</f>
        <v>195000</v>
      </c>
      <c r="F15" s="16">
        <f>F14</f>
        <v>217000</v>
      </c>
    </row>
    <row r="16" spans="1:12">
      <c r="A16" s="14" t="s">
        <v>633</v>
      </c>
      <c r="C16" s="21">
        <f>C15/B15-1</f>
        <v>0.318007508445322</v>
      </c>
      <c r="D16" s="21">
        <f>D15/C15-1</f>
        <v>0.1847133757961783</v>
      </c>
      <c r="E16" s="21">
        <f>E15/D15-1</f>
        <v>0.048387096774193505</v>
      </c>
      <c r="F16" s="21">
        <f>F15/E15-1</f>
        <v>0.11282051282051286</v>
      </c>
    </row>
    <row r="17" spans="1:12">
      <c r="A17" s="14" t="s">
        <v>634</v>
      </c>
      <c r="B17" s="6">
        <v>155599</v>
      </c>
      <c r="C17" s="6">
        <v>170756</v>
      </c>
      <c r="D17" s="6">
        <v>186270</v>
      </c>
      <c r="E17" s="6">
        <v>201790</v>
      </c>
      <c r="F17" s="6">
        <v>217310</v>
      </c>
    </row>
    <row r="18" spans="1:12">
      <c r="A18" s="14" t="s">
        <v>635</v>
      </c>
      <c r="B18" s="6">
        <v>136325</v>
      </c>
      <c r="C18" s="6">
        <v>149605</v>
      </c>
      <c r="D18" s="6">
        <v>163200</v>
      </c>
      <c r="E18" s="6">
        <v>176800</v>
      </c>
      <c r="F18" s="6">
        <v>190400</v>
      </c>
    </row>
    <row r="19" spans="1:12">
      <c r="A19" s="14" t="s">
        <v>636</v>
      </c>
      <c r="B19" s="6">
        <v>7923</v>
      </c>
      <c r="C19" s="6">
        <v>8695</v>
      </c>
      <c r="D19" s="6">
        <v>9485</v>
      </c>
      <c r="E19" s="6">
        <v>10275</v>
      </c>
      <c r="F19" s="6">
        <v>11065</v>
      </c>
    </row>
    <row r="20" spans="1:12">
      <c r="A20" s="14" t="s">
        <v>637</v>
      </c>
      <c r="B20" s="6">
        <v>659</v>
      </c>
      <c r="C20" s="6">
        <v>724</v>
      </c>
      <c r="D20" s="6">
        <v>789</v>
      </c>
      <c r="E20" s="6">
        <v>855</v>
      </c>
      <c r="F20" s="6">
        <v>920</v>
      </c>
    </row>
    <row r="21" spans="1:12">
      <c r="A21" s="14" t="s">
        <v>638</v>
      </c>
      <c r="B21" s="6">
        <v>188</v>
      </c>
      <c r="C21" s="6">
        <v>206</v>
      </c>
      <c r="D21" s="6">
        <v>225</v>
      </c>
      <c r="E21" s="6">
        <v>244</v>
      </c>
      <c r="F21" s="6">
        <v>263</v>
      </c>
    </row>
    <row r="22" spans="1:12">
      <c r="A22" s="14" t="s">
        <v>639</v>
      </c>
      <c r="C22" s="21">
        <f>C21/$B$21-1</f>
        <v>0.0957446808510638</v>
      </c>
      <c r="D22" s="21">
        <f>D21/$B$21-1</f>
        <v>0.19680851063829796</v>
      </c>
      <c r="E22" s="21">
        <f>E21/$B$21-1</f>
        <v>0.2978723404255319</v>
      </c>
      <c r="F22" s="21">
        <f>F21/$B$21-1</f>
        <v>0.39893617021276606</v>
      </c>
    </row>
    <row r="23" spans="1:12">
      <c r="A23" s="14" t="s">
        <v>640</v>
      </c>
      <c r="B23" s="16">
        <v>633.6127659574468</v>
      </c>
      <c r="C23" s="16">
        <f>C15/C21</f>
        <v>762.1359223300971</v>
      </c>
      <c r="D23" s="16">
        <f>D15/D21</f>
        <v>826.6666666666666</v>
      </c>
      <c r="E23" s="16">
        <f>E15/E21</f>
        <v>799.1803278688525</v>
      </c>
      <c r="F23" s="16">
        <f>F15/F21</f>
        <v>825.0950570342205</v>
      </c>
    </row>
    <row r="24" spans="1:12">
      <c r="A24" s="14" t="s">
        <v>641</v>
      </c>
      <c r="B24" s="22">
        <v>188</v>
      </c>
      <c r="C24" s="22">
        <f>C15/$B$23</f>
        <v>247.78541158772055</v>
      </c>
      <c r="D24" s="22">
        <f>D15/$B$23</f>
        <v>293.5546914351339</v>
      </c>
      <c r="E24" s="22">
        <f>E15/$B$23</f>
        <v>307.75895069812424</v>
      </c>
      <c r="F24" s="22">
        <f>F15/$B$23</f>
        <v>342.48047334098953</v>
      </c>
    </row>
    <row r="25" spans="1:12">
      <c r="A25" s="14" t="s">
        <v>642</v>
      </c>
      <c r="C25" s="22">
        <f>C21-C24</f>
        <v>-41.785411587720546</v>
      </c>
      <c r="D25" s="22">
        <f>D21-D24</f>
        <v>-68.55469143513392</v>
      </c>
      <c r="E25" s="22">
        <f>E21-E24</f>
        <v>-63.75895069812424</v>
      </c>
      <c r="F25" s="22">
        <f>F21-F24</f>
        <v>-79.48047334098953</v>
      </c>
    </row>
    <row r="27" spans="1:12">
      <c r="A27" s="18" t="s">
        <v>644</v>
      </c>
      <c r="B27" s="18"/>
      <c r="C27" s="18"/>
      <c r="D27" s="18"/>
      <c r="E27" s="18"/>
      <c r="F27" s="18"/>
      <c r="G27" s="18"/>
      <c r="H27" s="18"/>
      <c r="I27" s="18"/>
      <c r="J27" s="18"/>
      <c r="K27" s="18"/>
      <c r="L27" s="18"/>
    </row>
    <row r="28" spans="1:12">
      <c r="A28" s="18"/>
      <c r="B28" s="18"/>
      <c r="C28" s="18"/>
      <c r="D28" s="18"/>
      <c r="E28" s="18"/>
      <c r="F28" s="18"/>
      <c r="G28" s="18"/>
      <c r="H28" s="18"/>
      <c r="I28" s="18"/>
      <c r="J28" s="18"/>
      <c r="K28" s="18"/>
      <c r="L28" s="18"/>
    </row>
    <row r="30" spans="1:12">
      <c r="A30" s="18" t="s">
        <v>645</v>
      </c>
      <c r="B30" s="18"/>
      <c r="C30" s="18"/>
      <c r="D30" s="18"/>
      <c r="E30" s="18"/>
      <c r="F30" s="18"/>
      <c r="G30" s="18"/>
      <c r="H30" s="18"/>
      <c r="I30" s="18"/>
      <c r="J30" s="18"/>
      <c r="K30" s="18"/>
      <c r="L30" s="18"/>
    </row>
    <row r="31" spans="1:12">
      <c r="A31" s="18"/>
      <c r="B31" s="18"/>
      <c r="C31" s="18"/>
      <c r="D31" s="18"/>
      <c r="E31" s="18"/>
      <c r="F31" s="18"/>
      <c r="G31" s="18"/>
      <c r="H31" s="18"/>
      <c r="I31" s="18"/>
      <c r="J31" s="18"/>
      <c r="K31" s="18"/>
      <c r="L31" s="18"/>
    </row>
    <row r="33" spans="1:12">
      <c r="A33" s="18" t="s">
        <v>646</v>
      </c>
      <c r="B33" s="18"/>
      <c r="C33" s="18"/>
      <c r="D33" s="18"/>
      <c r="E33" s="18"/>
      <c r="F33" s="18"/>
      <c r="G33" s="18"/>
      <c r="H33" s="18"/>
      <c r="I33" s="18"/>
      <c r="J33" s="18"/>
      <c r="K33" s="18"/>
      <c r="L33" s="18"/>
    </row>
    <row r="34" spans="1:12">
      <c r="A34" s="18"/>
      <c r="B34" s="18"/>
      <c r="C34" s="18"/>
      <c r="D34" s="18"/>
      <c r="E34" s="18"/>
      <c r="F34" s="18"/>
      <c r="G34" s="18"/>
      <c r="H34" s="18"/>
      <c r="I34" s="18"/>
      <c r="J34" s="18"/>
      <c r="K34" s="18"/>
      <c r="L34" s="18"/>
    </row>
    <row r="36" spans="1:12">
      <c r="A36" s="18" t="s">
        <v>647</v>
      </c>
      <c r="B36" s="18"/>
      <c r="C36" s="18"/>
      <c r="D36" s="18"/>
      <c r="E36" s="18"/>
      <c r="F36" s="18"/>
      <c r="G36" s="18"/>
      <c r="H36" s="18"/>
      <c r="I36" s="18"/>
      <c r="J36" s="18"/>
      <c r="K36" s="18"/>
      <c r="L36" s="18"/>
    </row>
    <row r="37" spans="1:12">
      <c r="A37" s="18"/>
      <c r="B37" s="18"/>
      <c r="C37" s="18"/>
      <c r="D37" s="18"/>
      <c r="E37" s="18"/>
      <c r="F37" s="18"/>
      <c r="G37" s="18"/>
      <c r="H37" s="18"/>
      <c r="I37" s="18"/>
      <c r="J37" s="18"/>
      <c r="K37" s="18"/>
      <c r="L37" s="18"/>
    </row>
    <row r="39" spans="1:12">
      <c r="A39" s="3" t="s">
        <v>648</v>
      </c>
      <c r="B39" s="3"/>
      <c r="C39" s="3"/>
      <c r="D39" s="3"/>
      <c r="E39" s="3"/>
      <c r="F39" s="3"/>
      <c r="G39" s="3"/>
      <c r="H39" s="3"/>
      <c r="I39" s="3"/>
      <c r="J39" s="3"/>
      <c r="K39" s="3"/>
      <c r="L39" s="3"/>
    </row>
    <row r="40" spans="1:12">
      <c r="A40" s="3"/>
      <c r="B40" s="3"/>
      <c r="C40" s="3"/>
      <c r="D40" s="3"/>
      <c r="E40" s="3"/>
      <c r="F40" s="3"/>
      <c r="G40" s="3"/>
      <c r="H40" s="3"/>
      <c r="I40" s="3"/>
      <c r="J40" s="3"/>
      <c r="K40" s="3"/>
      <c r="L40" s="3"/>
    </row>
  </sheetData>
  <mergeCells count="8">
    <mergeCell ref="A1:L1"/>
    <mergeCell ref="A2:L2"/>
    <mergeCell ref="A3:L3"/>
    <mergeCell ref="A27:L28"/>
    <mergeCell ref="A30:L31"/>
    <mergeCell ref="A33:L34"/>
    <mergeCell ref="A36:L37"/>
    <mergeCell ref="A39:L40"/>
  </mergeCell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G1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42578125" customWidth="1"/>
    <col min="2" max="2" width="20.42578125" customWidth="1"/>
    <col min="3" max="6" width="15.7109375" customWidth="1"/>
    <col min="7" max="7" width="27.42578125" customWidth="1"/>
  </cols>
  <sheetData>
    <row r="1" spans="1:7" ht="42" customHeight="1">
      <c r="A1" s="10" t="s">
        <v>10</v>
      </c>
      <c r="B1" s="10" t="s">
        <v>11</v>
      </c>
      <c r="C1" s="10" t="s">
        <v>12</v>
      </c>
      <c r="D1" s="10" t="s">
        <v>13</v>
      </c>
      <c r="E1" s="10" t="s">
        <v>55</v>
      </c>
      <c r="F1" s="10" t="s">
        <v>56</v>
      </c>
      <c r="G1" s="10" t="s">
        <v>57</v>
      </c>
    </row>
    <row r="2" spans="1:7" ht="21" customHeight="1">
      <c r="A2" s="14" t="s">
        <v>16</v>
      </c>
      <c r="B2" s="16">
        <v>61601.33</v>
      </c>
      <c r="C2" s="16">
        <v>95066.91</v>
      </c>
      <c r="D2" s="16">
        <v>119119.2</v>
      </c>
      <c r="E2" s="15">
        <v>0.5432606731055969</v>
      </c>
      <c r="F2" s="15">
        <v>0.2530038054250421</v>
      </c>
      <c r="G2" s="14" t="s">
        <v>58</v>
      </c>
    </row>
    <row r="3" spans="1:7" ht="21" customHeight="1">
      <c r="A3" s="11" t="s">
        <v>19</v>
      </c>
      <c r="B3" s="19">
        <v>1965</v>
      </c>
      <c r="C3" s="19">
        <v>19255</v>
      </c>
      <c r="D3" s="19">
        <v>155599</v>
      </c>
      <c r="E3" s="13">
        <v>8.798982188295165</v>
      </c>
      <c r="F3" s="13">
        <v>7.080965982861594</v>
      </c>
      <c r="G3" s="11" t="s">
        <v>58</v>
      </c>
    </row>
    <row r="4" spans="1:7" ht="21" customHeight="1">
      <c r="A4" s="14" t="s">
        <v>59</v>
      </c>
      <c r="B4" s="6">
        <v>1813</v>
      </c>
      <c r="C4" s="6">
        <v>17533</v>
      </c>
      <c r="D4" s="6">
        <v>136325</v>
      </c>
      <c r="E4" s="15">
        <v>8.670711527854385</v>
      </c>
      <c r="F4" s="15">
        <v>6.775337934181258</v>
      </c>
      <c r="G4" s="14" t="s">
        <v>58</v>
      </c>
    </row>
    <row r="5" spans="1:7" ht="21" customHeight="1">
      <c r="A5" s="11" t="s">
        <v>60</v>
      </c>
      <c r="B5" s="19">
        <v>496</v>
      </c>
      <c r="C5" s="19">
        <v>4007</v>
      </c>
      <c r="D5" s="19">
        <v>7923</v>
      </c>
      <c r="E5" s="13">
        <v>7.078629032258064</v>
      </c>
      <c r="F5" s="13">
        <v>0.9772897429498377</v>
      </c>
      <c r="G5" s="11" t="s">
        <v>58</v>
      </c>
    </row>
    <row r="6" spans="1:7" ht="21" customHeight="1">
      <c r="A6" s="14" t="s">
        <v>61</v>
      </c>
      <c r="B6" s="6">
        <v>37</v>
      </c>
      <c r="C6" s="6">
        <v>262</v>
      </c>
      <c r="D6" s="6">
        <v>659</v>
      </c>
      <c r="E6" s="15">
        <v>6.081081081081081</v>
      </c>
      <c r="F6" s="15">
        <v>1.515267175572519</v>
      </c>
      <c r="G6" s="14" t="s">
        <v>58</v>
      </c>
    </row>
    <row r="7" spans="1:7" ht="21" customHeight="1">
      <c r="A7" s="11" t="s">
        <v>17</v>
      </c>
      <c r="B7" s="19">
        <v>9</v>
      </c>
      <c r="C7" s="19">
        <v>67</v>
      </c>
      <c r="D7" s="19">
        <v>188</v>
      </c>
      <c r="E7" s="13">
        <v>6.444444444444445</v>
      </c>
      <c r="F7" s="13">
        <v>1.805970149253731</v>
      </c>
      <c r="G7" s="11" t="s">
        <v>58</v>
      </c>
    </row>
    <row r="8" spans="1:7" ht="21" customHeight="1">
      <c r="A8" s="14" t="s">
        <v>18</v>
      </c>
      <c r="B8" s="16">
        <v>6844.592222222223</v>
      </c>
      <c r="C8" s="16">
        <v>1418.909104477612</v>
      </c>
      <c r="D8" s="16">
        <v>633.6127659574468</v>
      </c>
      <c r="E8" s="15">
        <v>-0.792696327493278</v>
      </c>
      <c r="F8" s="15">
        <v>-0.5534507714708626</v>
      </c>
      <c r="G8" s="14" t="s">
        <v>58</v>
      </c>
    </row>
    <row r="9" spans="1:7" ht="21" customHeight="1">
      <c r="A9" s="11" t="s">
        <v>62</v>
      </c>
      <c r="B9" s="12">
        <v>31.34927735368957</v>
      </c>
      <c r="C9" s="12">
        <v>4.937258374448195</v>
      </c>
      <c r="D9" s="12">
        <v>0.765552477843688</v>
      </c>
      <c r="E9" s="13">
        <v>-0.8425080642611011</v>
      </c>
      <c r="F9" s="13">
        <v>-0.8449438089354097</v>
      </c>
      <c r="G9" s="11" t="s">
        <v>58</v>
      </c>
    </row>
    <row r="10" spans="1:7" ht="21" customHeight="1">
      <c r="A10" s="14" t="s">
        <v>20</v>
      </c>
      <c r="B10" s="15">
        <v>0.004580152671755725</v>
      </c>
      <c r="C10" s="15">
        <v>0.00347961568423786</v>
      </c>
      <c r="D10" s="15">
        <v>0.001208233986079602</v>
      </c>
      <c r="E10" s="15">
        <v>-0.001100536987517865</v>
      </c>
      <c r="F10" s="15">
        <v>-0.002271381698158258</v>
      </c>
      <c r="G10" s="14" t="s">
        <v>63</v>
      </c>
    </row>
    <row r="11" spans="1:7" ht="21" customHeight="1">
      <c r="A11" s="11" t="s">
        <v>64</v>
      </c>
      <c r="B11" s="13">
        <v>0.2524173027989822</v>
      </c>
      <c r="C11" s="13">
        <v>0.2081017917424046</v>
      </c>
      <c r="D11" s="13">
        <v>0.05091935038142919</v>
      </c>
      <c r="E11" s="13">
        <v>-0.04431551105657761</v>
      </c>
      <c r="F11" s="13">
        <v>-0.1571824413609754</v>
      </c>
      <c r="G11" s="11" t="s">
        <v>63</v>
      </c>
    </row>
    <row r="12" spans="1:7" ht="21" customHeight="1">
      <c r="A12" s="14" t="s">
        <v>65</v>
      </c>
      <c r="B12" s="15">
        <v>0.07459677419354839</v>
      </c>
      <c r="C12" s="15">
        <v>0.06538557524332418</v>
      </c>
      <c r="D12" s="15">
        <v>0.08317556481130885</v>
      </c>
      <c r="E12" s="15">
        <v>-0.009211198950224209</v>
      </c>
      <c r="F12" s="15">
        <v>0.01778998956798467</v>
      </c>
      <c r="G12" s="14" t="s">
        <v>63</v>
      </c>
    </row>
    <row r="13" spans="1:7" ht="21" customHeight="1">
      <c r="A13" s="11" t="s">
        <v>66</v>
      </c>
      <c r="B13" s="13">
        <v>0.2432432432432433</v>
      </c>
      <c r="C13" s="13">
        <v>0.2557251908396946</v>
      </c>
      <c r="D13" s="13">
        <v>0.2852807283763278</v>
      </c>
      <c r="E13" s="13">
        <v>0.01248194759645138</v>
      </c>
      <c r="F13" s="13">
        <v>0.02955553753663315</v>
      </c>
      <c r="G13" s="11" t="s">
        <v>63</v>
      </c>
    </row>
    <row r="14" spans="1:7" ht="21" customHeight="1">
      <c r="A14" s="14" t="s">
        <v>21</v>
      </c>
      <c r="B14" s="16">
        <v>2053.377666666667</v>
      </c>
      <c r="C14" s="16">
        <v>3066.674516129032</v>
      </c>
      <c r="D14" s="16">
        <v>3842.554838709677</v>
      </c>
      <c r="E14" s="15">
        <v>0.4934780707473518</v>
      </c>
      <c r="F14" s="15">
        <v>0.2530038054250421</v>
      </c>
      <c r="G14" s="14" t="s">
        <v>58</v>
      </c>
    </row>
    <row r="15" spans="1:7" ht="21" customHeight="1">
      <c r="A15" s="11" t="s">
        <v>22</v>
      </c>
      <c r="B15" s="17">
        <v>0.3</v>
      </c>
      <c r="C15" s="17">
        <v>2.161290322580645</v>
      </c>
      <c r="D15" s="17">
        <v>6.064516129032258</v>
      </c>
      <c r="E15" s="13">
        <v>6.204301075268817</v>
      </c>
      <c r="F15" s="13">
        <v>1.805970149253731</v>
      </c>
      <c r="G15" s="11" t="s">
        <v>58</v>
      </c>
    </row>
    <row r="18" spans="1:7" ht="21" customHeight="1">
      <c r="A18" s="18" t="s">
        <v>67</v>
      </c>
      <c r="B18" s="18"/>
      <c r="C18" s="18"/>
      <c r="D18" s="18"/>
      <c r="E18" s="18"/>
      <c r="F18" s="18"/>
      <c r="G18" s="18"/>
    </row>
    <row r="19" spans="1:7" ht="21" customHeight="1">
      <c r="A19" s="18"/>
      <c r="B19" s="18"/>
      <c r="C19" s="18"/>
      <c r="D19" s="18"/>
      <c r="E19" s="18"/>
      <c r="F19" s="18"/>
      <c r="G19" s="18"/>
    </row>
  </sheetData>
  <mergeCells count="1">
    <mergeCell ref="A18:G19"/>
  </mergeCell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F2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3.42578125" customWidth="1"/>
    <col min="2" max="2" width="26.42578125" customWidth="1"/>
    <col min="3" max="3" width="15.7109375" customWidth="1"/>
    <col min="4" max="4" width="25.42578125" customWidth="1"/>
    <col min="5" max="5" width="15.7109375" customWidth="1"/>
    <col min="6" max="6" width="26.42578125" customWidth="1"/>
  </cols>
  <sheetData>
    <row r="1" spans="1:6" ht="42" customHeight="1">
      <c r="A1" s="10" t="s">
        <v>10</v>
      </c>
      <c r="B1" s="10" t="s">
        <v>68</v>
      </c>
      <c r="C1" s="10" t="s">
        <v>69</v>
      </c>
      <c r="D1" s="10" t="s">
        <v>70</v>
      </c>
      <c r="E1" s="10" t="s">
        <v>71</v>
      </c>
      <c r="F1" s="10" t="s">
        <v>72</v>
      </c>
    </row>
    <row r="2" spans="1:6" ht="21" customHeight="1">
      <c r="A2" s="14" t="s">
        <v>16</v>
      </c>
      <c r="B2" s="16">
        <v>38950.37</v>
      </c>
      <c r="C2" s="16">
        <v>119119.2</v>
      </c>
      <c r="D2" s="16">
        <v>4868.79625</v>
      </c>
      <c r="E2" s="16">
        <v>3842.554838709677</v>
      </c>
      <c r="F2" s="15">
        <v>0.2670726780401482</v>
      </c>
    </row>
    <row r="3" spans="1:6" ht="21" customHeight="1">
      <c r="A3" s="11" t="s">
        <v>19</v>
      </c>
      <c r="B3" s="19">
        <v>59101</v>
      </c>
      <c r="C3" s="19">
        <v>155599</v>
      </c>
      <c r="D3" s="17">
        <v>7387.625</v>
      </c>
      <c r="E3" s="17">
        <v>5019.322580645161</v>
      </c>
      <c r="F3" s="13">
        <v>0.4718370619348455</v>
      </c>
    </row>
    <row r="4" spans="1:6" ht="21" customHeight="1">
      <c r="A4" s="14" t="s">
        <v>59</v>
      </c>
      <c r="B4" s="6">
        <v>51480</v>
      </c>
      <c r="C4" s="6">
        <v>136325</v>
      </c>
      <c r="D4" s="22">
        <v>6435</v>
      </c>
      <c r="E4" s="22">
        <v>4397.580645161291</v>
      </c>
      <c r="F4" s="15">
        <v>0.4633046029708416</v>
      </c>
    </row>
    <row r="5" spans="1:6" ht="21" customHeight="1">
      <c r="A5" s="11" t="s">
        <v>60</v>
      </c>
      <c r="B5" s="19">
        <v>2476</v>
      </c>
      <c r="C5" s="19">
        <v>7923</v>
      </c>
      <c r="D5" s="17">
        <v>309.5</v>
      </c>
      <c r="E5" s="17">
        <v>255.5806451612903</v>
      </c>
      <c r="F5" s="13">
        <v>0.2109680676511423</v>
      </c>
    </row>
    <row r="6" spans="1:6" ht="21" customHeight="1">
      <c r="A6" s="14" t="s">
        <v>61</v>
      </c>
      <c r="B6" s="6">
        <v>250</v>
      </c>
      <c r="C6" s="6">
        <v>659</v>
      </c>
      <c r="D6" s="22">
        <v>31.25</v>
      </c>
      <c r="E6" s="22">
        <v>21.25806451612903</v>
      </c>
      <c r="F6" s="15">
        <v>0.470030349013657</v>
      </c>
    </row>
    <row r="7" spans="1:6" ht="21" customHeight="1">
      <c r="A7" s="11" t="s">
        <v>17</v>
      </c>
      <c r="B7" s="19">
        <v>50</v>
      </c>
      <c r="C7" s="19">
        <v>188</v>
      </c>
      <c r="D7" s="17">
        <v>6.25</v>
      </c>
      <c r="E7" s="17">
        <v>6.064516129032258</v>
      </c>
      <c r="F7" s="13">
        <v>0.03058510638297873</v>
      </c>
    </row>
    <row r="9" spans="1:6" ht="21" customHeight="1">
      <c r="A9" s="11" t="s">
        <v>73</v>
      </c>
      <c r="B9" s="12">
        <v>779.0074000000001</v>
      </c>
      <c r="C9" s="12">
        <v>633.6127659574468</v>
      </c>
      <c r="D9" s="12">
        <v>779.0074000000001</v>
      </c>
      <c r="E9" s="12">
        <v>633.6127659574468</v>
      </c>
      <c r="F9" s="13">
        <v>0.2294692308208923</v>
      </c>
    </row>
    <row r="10" spans="1:6" ht="21" customHeight="1">
      <c r="A10" s="14" t="s">
        <v>62</v>
      </c>
      <c r="B10" s="16">
        <v>0.6590475626469942</v>
      </c>
      <c r="C10" s="16">
        <v>0.765552477843688</v>
      </c>
      <c r="D10" s="16">
        <v>0.6590475626469942</v>
      </c>
      <c r="E10" s="16">
        <v>0.765552477843688</v>
      </c>
      <c r="F10" s="15">
        <v>-0.1391216386585065</v>
      </c>
    </row>
    <row r="11" spans="1:6" ht="21" customHeight="1">
      <c r="A11" s="11" t="s">
        <v>20</v>
      </c>
      <c r="B11" s="13">
        <v>0.0008460093737838615</v>
      </c>
      <c r="C11" s="13">
        <v>0.001208233986079602</v>
      </c>
      <c r="D11" s="13">
        <v>0.0008460093737838615</v>
      </c>
      <c r="E11" s="13">
        <v>0.001208233986079602</v>
      </c>
      <c r="F11" s="13">
        <v>-0.0003622246122957406</v>
      </c>
    </row>
    <row r="12" spans="1:6" ht="21" customHeight="1">
      <c r="A12" s="14" t="s">
        <v>64</v>
      </c>
      <c r="B12" s="15">
        <v>0.04189438418977683</v>
      </c>
      <c r="C12" s="15">
        <v>0.05091935038142919</v>
      </c>
      <c r="D12" s="15">
        <v>0.04189438418977683</v>
      </c>
      <c r="E12" s="15">
        <v>0.05091935038142919</v>
      </c>
      <c r="F12" s="15">
        <v>-0.009024966191652363</v>
      </c>
    </row>
    <row r="13" spans="1:6" ht="21" customHeight="1">
      <c r="A13" s="11" t="s">
        <v>74</v>
      </c>
      <c r="B13" s="13">
        <v>0.1009693053311793</v>
      </c>
      <c r="C13" s="13">
        <v>0.08317556481130885</v>
      </c>
      <c r="D13" s="13">
        <v>0.1009693053311793</v>
      </c>
      <c r="E13" s="13">
        <v>0.08317556481130885</v>
      </c>
      <c r="F13" s="13">
        <v>0.01779374051987047</v>
      </c>
    </row>
    <row r="14" spans="1:6" ht="21" customHeight="1">
      <c r="A14" s="14" t="s">
        <v>75</v>
      </c>
      <c r="B14" s="15">
        <v>0.2</v>
      </c>
      <c r="C14" s="15">
        <v>0.2852807283763278</v>
      </c>
      <c r="D14" s="15">
        <v>0.2</v>
      </c>
      <c r="E14" s="15">
        <v>0.2852807283763278</v>
      </c>
      <c r="F14" s="15">
        <v>-0.08528072837632777</v>
      </c>
    </row>
    <row r="16" spans="1:6" ht="21" customHeight="1">
      <c r="A16" s="18" t="s">
        <v>76</v>
      </c>
      <c r="B16" s="18"/>
      <c r="C16" s="18"/>
      <c r="D16" s="18"/>
      <c r="E16" s="18"/>
      <c r="F16" s="18"/>
    </row>
    <row r="17" spans="1:6" ht="21" customHeight="1">
      <c r="A17" s="18"/>
      <c r="B17" s="18"/>
      <c r="C17" s="18"/>
      <c r="D17" s="18"/>
      <c r="E17" s="18"/>
      <c r="F17" s="18"/>
    </row>
    <row r="20" spans="1:6" ht="43" customHeight="1">
      <c r="A20" s="18" t="s">
        <v>77</v>
      </c>
      <c r="B20" s="18"/>
      <c r="C20" s="18"/>
      <c r="D20" s="18"/>
      <c r="E20" s="18"/>
      <c r="F20" s="18"/>
    </row>
    <row r="21" spans="1:6" ht="43" customHeight="1">
      <c r="A21" s="18" t="s">
        <v>78</v>
      </c>
      <c r="B21" s="18"/>
      <c r="C21" s="18"/>
      <c r="D21" s="18"/>
      <c r="E21" s="18"/>
      <c r="F21" s="18"/>
    </row>
    <row r="22" spans="1:6" ht="43" customHeight="1">
      <c r="A22" s="18" t="s">
        <v>79</v>
      </c>
      <c r="B22" s="18"/>
      <c r="C22" s="18"/>
      <c r="D22" s="18"/>
      <c r="E22" s="18"/>
      <c r="F22" s="18"/>
    </row>
    <row r="23" spans="1:6" ht="43" customHeight="1">
      <c r="A23" s="18" t="s">
        <v>80</v>
      </c>
      <c r="B23" s="18"/>
      <c r="C23" s="18"/>
      <c r="D23" s="18"/>
      <c r="E23" s="18"/>
      <c r="F23" s="18"/>
    </row>
    <row r="24" spans="1:6" ht="43" customHeight="1">
      <c r="A24" s="18" t="s">
        <v>81</v>
      </c>
      <c r="B24" s="18"/>
      <c r="C24" s="18"/>
      <c r="D24" s="18"/>
      <c r="E24" s="18"/>
      <c r="F24" s="18"/>
    </row>
    <row r="25" spans="1:6" ht="43" customHeight="1">
      <c r="A25" s="18" t="s">
        <v>82</v>
      </c>
      <c r="B25" s="18"/>
      <c r="C25" s="18"/>
      <c r="D25" s="18"/>
      <c r="E25" s="18"/>
      <c r="F25" s="18"/>
    </row>
    <row r="26" spans="1:6" ht="43" customHeight="1">
      <c r="A26" s="18" t="s">
        <v>83</v>
      </c>
      <c r="B26" s="18"/>
      <c r="C26" s="18"/>
      <c r="D26" s="18"/>
      <c r="E26" s="18"/>
      <c r="F26" s="18"/>
    </row>
  </sheetData>
  <mergeCells count="8">
    <mergeCell ref="A16:F17"/>
    <mergeCell ref="A20:F20"/>
    <mergeCell ref="A21:F21"/>
    <mergeCell ref="A22:F22"/>
    <mergeCell ref="A23:F23"/>
    <mergeCell ref="A24:F24"/>
    <mergeCell ref="A25:F25"/>
    <mergeCell ref="A26:F26"/>
  </mergeCell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pageSetUpPr fitToPage="1"/>
  </sheetPr>
  <dimension ref="A1:I4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3.7109375" customWidth="1"/>
    <col min="2" max="5" width="24.7109375" customWidth="1"/>
    <col min="6" max="9" width="18.7109375" customWidth="1"/>
  </cols>
  <sheetData>
    <row r="1" spans="1:9" ht="34" customHeight="1">
      <c r="A1" s="1" t="s">
        <v>483</v>
      </c>
      <c r="B1" s="1"/>
      <c r="C1" s="1"/>
      <c r="D1" s="1"/>
      <c r="E1" s="1"/>
      <c r="F1" s="1"/>
      <c r="G1" s="1"/>
      <c r="H1" s="1"/>
      <c r="I1" s="1"/>
    </row>
    <row r="2" spans="1:9" ht="32" customHeight="1">
      <c r="A2" s="2" t="s">
        <v>484</v>
      </c>
      <c r="B2" s="2"/>
      <c r="C2" s="2"/>
      <c r="D2" s="2"/>
      <c r="E2" s="2"/>
      <c r="F2" s="2"/>
      <c r="G2" s="2"/>
      <c r="H2" s="2"/>
      <c r="I2" s="2"/>
    </row>
    <row r="3" spans="1:9" ht="44" customHeight="1">
      <c r="A3" s="3" t="s">
        <v>485</v>
      </c>
      <c r="B3" s="3"/>
      <c r="C3" s="3"/>
      <c r="D3" s="3"/>
      <c r="E3" s="3"/>
      <c r="F3" s="3"/>
      <c r="G3" s="3"/>
      <c r="H3" s="3"/>
      <c r="I3" s="3"/>
    </row>
    <row r="5" spans="1:9">
      <c r="A5" s="10" t="s">
        <v>486</v>
      </c>
      <c r="B5" s="10" t="s">
        <v>487</v>
      </c>
      <c r="C5" s="10" t="s">
        <v>488</v>
      </c>
    </row>
    <row r="6" spans="1:9" ht="29" customHeight="1">
      <c r="A6" s="14" t="s">
        <v>489</v>
      </c>
      <c r="B6" s="16">
        <v>119119.2</v>
      </c>
      <c r="C6" s="18" t="s">
        <v>490</v>
      </c>
      <c r="D6" s="18"/>
      <c r="E6" s="18"/>
      <c r="F6" s="18"/>
      <c r="G6" s="18"/>
      <c r="H6" s="18"/>
      <c r="I6" s="18"/>
    </row>
    <row r="7" spans="1:9" ht="29" customHeight="1">
      <c r="A7" s="14" t="s">
        <v>491</v>
      </c>
      <c r="B7" s="6">
        <v>188</v>
      </c>
      <c r="C7" s="18" t="s">
        <v>492</v>
      </c>
      <c r="D7" s="18"/>
      <c r="E7" s="18"/>
      <c r="F7" s="18"/>
      <c r="G7" s="18"/>
      <c r="H7" s="18"/>
      <c r="I7" s="18"/>
    </row>
    <row r="8" spans="1:9" ht="29" customHeight="1">
      <c r="A8" s="14" t="s">
        <v>493</v>
      </c>
      <c r="B8" s="16">
        <v>633.6127659574468</v>
      </c>
      <c r="C8" s="18" t="s">
        <v>494</v>
      </c>
      <c r="D8" s="18"/>
      <c r="E8" s="18"/>
      <c r="F8" s="18"/>
      <c r="G8" s="18"/>
      <c r="H8" s="18"/>
      <c r="I8" s="18"/>
    </row>
    <row r="9" spans="1:9" ht="29" customHeight="1">
      <c r="A9" s="14" t="s">
        <v>495</v>
      </c>
      <c r="B9" s="20">
        <f>'August Sales Basis'!E12</f>
        <v>3244492.26</v>
      </c>
      <c r="C9" s="18" t="s">
        <v>496</v>
      </c>
      <c r="D9" s="18"/>
      <c r="E9" s="18"/>
      <c r="F9" s="18"/>
      <c r="G9" s="18"/>
      <c r="H9" s="18"/>
      <c r="I9" s="18"/>
    </row>
    <row r="10" spans="1:9" ht="29" customHeight="1">
      <c r="A10" s="14" t="s">
        <v>497</v>
      </c>
      <c r="B10" s="16">
        <v>14000000</v>
      </c>
      <c r="C10" s="18" t="s">
        <v>498</v>
      </c>
      <c r="D10" s="18"/>
      <c r="E10" s="18"/>
      <c r="F10" s="18"/>
      <c r="G10" s="18"/>
      <c r="H10" s="18"/>
      <c r="I10" s="18"/>
    </row>
    <row r="11" spans="1:9" ht="29" customHeight="1">
      <c r="A11" s="14" t="s">
        <v>499</v>
      </c>
      <c r="B11" s="16">
        <v>1000000</v>
      </c>
      <c r="C11" s="18" t="s">
        <v>500</v>
      </c>
      <c r="D11" s="18"/>
      <c r="E11" s="18"/>
      <c r="F11" s="18"/>
      <c r="G11" s="18"/>
      <c r="H11" s="18"/>
      <c r="I11" s="18"/>
    </row>
    <row r="13" spans="1:9">
      <c r="A13" s="10" t="s">
        <v>501</v>
      </c>
      <c r="B13" s="10" t="s">
        <v>329</v>
      </c>
      <c r="C13" s="10" t="s">
        <v>502</v>
      </c>
      <c r="D13" s="10" t="s">
        <v>503</v>
      </c>
      <c r="E13" s="10" t="s">
        <v>504</v>
      </c>
    </row>
    <row r="14" spans="1:9">
      <c r="A14" s="14" t="s">
        <v>505</v>
      </c>
      <c r="B14" s="6">
        <v>30</v>
      </c>
      <c r="C14" s="6">
        <v>31</v>
      </c>
      <c r="D14" s="6">
        <v>30</v>
      </c>
      <c r="E14" s="6">
        <v>31</v>
      </c>
    </row>
    <row r="15" spans="1:9">
      <c r="A15" s="14" t="s">
        <v>506</v>
      </c>
      <c r="B15" s="21">
        <f>B16/$B$6-1</f>
        <v>0.03257913082022035</v>
      </c>
      <c r="C15" s="23"/>
      <c r="D15" s="23"/>
      <c r="E15" s="23"/>
    </row>
    <row r="16" spans="1:9">
      <c r="A16" s="14" t="s">
        <v>507</v>
      </c>
      <c r="B16" s="16">
        <f>'Daily Budget Schedule'!G11</f>
        <v>123000</v>
      </c>
      <c r="C16" s="16">
        <f>B16*(1+IF(ISNUMBER(C15),C15,0))</f>
        <v>123000</v>
      </c>
      <c r="D16" s="16">
        <f>C16*(1+IF(ISNUMBER(D15),D15,0))</f>
        <v>123000</v>
      </c>
      <c r="E16" s="16">
        <f>D16*(1+IF(ISNUMBER(E15),E15,0))</f>
        <v>123000</v>
      </c>
    </row>
    <row r="17" spans="1:9">
      <c r="A17" s="14" t="s">
        <v>508</v>
      </c>
      <c r="B17" s="16">
        <f>B16/B14</f>
        <v>4100.0</v>
      </c>
      <c r="C17" s="16">
        <f>C16/C14</f>
        <v>3967.7419354838707</v>
      </c>
      <c r="D17" s="16">
        <f>D16/D14</f>
        <v>4100.0</v>
      </c>
      <c r="E17" s="16">
        <f>E16/E14</f>
        <v>3967.7419354838707</v>
      </c>
    </row>
    <row r="18" spans="1:9">
      <c r="A18" s="14" t="s">
        <v>509</v>
      </c>
      <c r="B18" s="16">
        <f>$B$8</f>
        <v>633.6127659574468</v>
      </c>
      <c r="C18" s="16">
        <f>$B$8</f>
        <v>633.6127659574468</v>
      </c>
      <c r="D18" s="16">
        <f>$B$8</f>
        <v>633.6127659574468</v>
      </c>
      <c r="E18" s="16">
        <f>$B$8</f>
        <v>633.6127659574468</v>
      </c>
    </row>
    <row r="19" spans="1:9">
      <c r="A19" s="14" t="s">
        <v>510</v>
      </c>
      <c r="B19" s="22">
        <f>B16/B18</f>
        <v>194.12487659420145</v>
      </c>
      <c r="C19" s="22">
        <f>C16/C18</f>
        <v>194.12487659420145</v>
      </c>
      <c r="D19" s="22">
        <f>D16/D18</f>
        <v>194.12487659420145</v>
      </c>
      <c r="E19" s="22">
        <f>E16/E18</f>
        <v>194.12487659420145</v>
      </c>
    </row>
    <row r="20" spans="1:9">
      <c r="A20" s="14" t="s">
        <v>511</v>
      </c>
      <c r="B20" s="16">
        <f>$B$10-(4-1)*$B$11</f>
        <v>11000000</v>
      </c>
      <c r="C20" s="16">
        <f>$B$10-(4-2)*$B$11</f>
        <v>12000000</v>
      </c>
      <c r="D20" s="16">
        <f>$B$10-(4-3)*$B$11</f>
        <v>13000000</v>
      </c>
      <c r="E20" s="16">
        <f>$B$10-(4-4)*$B$11</f>
        <v>14000000</v>
      </c>
    </row>
    <row r="21" spans="1:9">
      <c r="A21" s="14" t="s">
        <v>512</v>
      </c>
      <c r="B21" s="22">
        <f>IF(AND(ISNUMBER($B$9),$B$9&gt;0),$B$9/$B$6,"Pending sales input")</f>
        <v>27.2373577055588</v>
      </c>
      <c r="C21" s="22">
        <f>IF(AND(ISNUMBER($B$9),$B$9&gt;0),$B$9/$B$6,"Pending sales input")</f>
        <v>27.2373577055588</v>
      </c>
      <c r="D21" s="22">
        <f>IF(AND(ISNUMBER($B$9),$B$9&gt;0),$B$9/$B$6,"Pending sales input")</f>
        <v>27.2373577055588</v>
      </c>
      <c r="E21" s="22">
        <f>IF(AND(ISNUMBER($B$9),$B$9&gt;0),$B$9/$B$6,"Pending sales input")</f>
        <v>27.2373577055588</v>
      </c>
    </row>
    <row r="22" spans="1:9">
      <c r="A22" s="14" t="s">
        <v>513</v>
      </c>
      <c r="B22" s="16">
        <f>IF(ISNUMBER(B21),B16*B21,"Pending sales input")</f>
        <v>3350194.9977837326</v>
      </c>
      <c r="C22" s="16">
        <f>IF(ISNUMBER(C21),C16*C21,"Pending sales input")</f>
        <v>3350194.9977837326</v>
      </c>
      <c r="D22" s="16">
        <f>IF(ISNUMBER(D21),D16*D21,"Pending sales input")</f>
        <v>3350194.9977837326</v>
      </c>
      <c r="E22" s="16">
        <f>IF(ISNUMBER(E21),E16*E21,"Pending sales input")</f>
        <v>3350194.9977837326</v>
      </c>
    </row>
    <row r="23" spans="1:9">
      <c r="A23" s="14" t="s">
        <v>514</v>
      </c>
      <c r="B23" s="16">
        <f>IF(ISNUMBER(B22),B20-B22,"Pending sales input")</f>
        <v>7649805.002216267</v>
      </c>
      <c r="C23" s="16">
        <f>IF(ISNUMBER(C22),C20-C22,"Pending sales input")</f>
        <v>8649805.002216268</v>
      </c>
      <c r="D23" s="16">
        <f>IF(ISNUMBER(D22),D20-D22,"Pending sales input")</f>
        <v>9649805.002216268</v>
      </c>
      <c r="E23" s="16">
        <f>IF(ISNUMBER(E22),E20-E22,"Pending sales input")</f>
        <v>10649805.002216268</v>
      </c>
    </row>
    <row r="24" spans="1:9">
      <c r="A24" s="14" t="s">
        <v>515</v>
      </c>
      <c r="B24" s="22">
        <f>B20/B16</f>
        <v>89.4308943089431</v>
      </c>
      <c r="C24" s="22">
        <f>C20/C16</f>
        <v>97.5609756097561</v>
      </c>
      <c r="D24" s="22">
        <f>D20/D16</f>
        <v>105.6910569105691</v>
      </c>
      <c r="E24" s="22">
        <f>E20/E16</f>
        <v>113.82113821138212</v>
      </c>
    </row>
    <row r="25" spans="1:9">
      <c r="A25" s="14" t="s">
        <v>516</v>
      </c>
      <c r="B25" s="16">
        <f>IF(ISNUMBER(B21),B20/B21,"Pending sales input")</f>
        <v>403857.089182885</v>
      </c>
      <c r="C25" s="16">
        <f>IF(ISNUMBER(C21),C20/C21,"Pending sales input")</f>
        <v>440571.37001769274</v>
      </c>
      <c r="D25" s="16">
        <f>IF(ISNUMBER(D21),D20/D21,"Pending sales input")</f>
        <v>477285.65085250046</v>
      </c>
      <c r="E25" s="16">
        <f>IF(ISNUMBER(E21),E20/E21,"Pending sales input")</f>
        <v>513999.9316873082</v>
      </c>
    </row>
    <row r="26" spans="1:9">
      <c r="A26" s="14" t="s">
        <v>517</v>
      </c>
      <c r="B26" s="16">
        <f>IF(ISNUMBER(B25),B25-B16,"Pending sales input")</f>
        <v>280857.089182885</v>
      </c>
      <c r="C26" s="16">
        <f>IF(ISNUMBER(C25),C25-C16,"Pending sales input")</f>
        <v>317571.37001769274</v>
      </c>
      <c r="D26" s="16">
        <f>IF(ISNUMBER(D25),D25-D16,"Pending sales input")</f>
        <v>354285.65085250046</v>
      </c>
      <c r="E26" s="16">
        <f>IF(ISNUMBER(E25),E25-E16,"Pending sales input")</f>
        <v>390999.9316873082</v>
      </c>
    </row>
    <row r="28" spans="1:9">
      <c r="A28" s="3" t="s">
        <v>518</v>
      </c>
      <c r="B28" s="3"/>
      <c r="C28" s="3"/>
      <c r="D28" s="3"/>
      <c r="E28" s="3"/>
      <c r="F28" s="3"/>
      <c r="G28" s="3"/>
      <c r="H28" s="3"/>
      <c r="I28" s="3"/>
    </row>
    <row r="29" spans="1:9">
      <c r="A29" s="3"/>
      <c r="B29" s="3"/>
      <c r="C29" s="3"/>
      <c r="D29" s="3"/>
      <c r="E29" s="3"/>
      <c r="F29" s="3"/>
      <c r="G29" s="3"/>
      <c r="H29" s="3"/>
      <c r="I29" s="3"/>
    </row>
    <row r="31" spans="1:9">
      <c r="A31" s="18" t="s">
        <v>519</v>
      </c>
      <c r="B31" s="18"/>
      <c r="C31" s="18"/>
      <c r="D31" s="18"/>
      <c r="E31" s="18"/>
      <c r="F31" s="18"/>
      <c r="G31" s="18"/>
      <c r="H31" s="18"/>
      <c r="I31" s="18"/>
    </row>
    <row r="32" spans="1:9">
      <c r="A32" s="18"/>
      <c r="B32" s="18"/>
      <c r="C32" s="18"/>
      <c r="D32" s="18"/>
      <c r="E32" s="18"/>
      <c r="F32" s="18"/>
      <c r="G32" s="18"/>
      <c r="H32" s="18"/>
      <c r="I32" s="18"/>
    </row>
    <row r="34" spans="1:9">
      <c r="A34" s="18" t="s">
        <v>520</v>
      </c>
      <c r="B34" s="18"/>
      <c r="C34" s="18"/>
      <c r="D34" s="18"/>
      <c r="E34" s="18"/>
      <c r="F34" s="18"/>
      <c r="G34" s="18"/>
      <c r="H34" s="18"/>
      <c r="I34" s="18"/>
    </row>
    <row r="35" spans="1:9">
      <c r="A35" s="18"/>
      <c r="B35" s="18"/>
      <c r="C35" s="18"/>
      <c r="D35" s="18"/>
      <c r="E35" s="18"/>
      <c r="F35" s="18"/>
      <c r="G35" s="18"/>
      <c r="H35" s="18"/>
      <c r="I35" s="18"/>
    </row>
    <row r="38" spans="1:9" ht="44" customHeight="1">
      <c r="A38" s="10" t="s">
        <v>521</v>
      </c>
      <c r="B38" s="10" t="s">
        <v>522</v>
      </c>
      <c r="C38" s="10" t="s">
        <v>523</v>
      </c>
      <c r="D38" s="10" t="s">
        <v>524</v>
      </c>
      <c r="E38" s="10" t="s">
        <v>525</v>
      </c>
    </row>
    <row r="39" spans="1:9">
      <c r="A39" t="s">
        <v>526</v>
      </c>
      <c r="B39" s="6">
        <v>50</v>
      </c>
      <c r="C39" s="16">
        <f>MAX(0,B16-38950.37)</f>
        <v>84049.63</v>
      </c>
      <c r="D39" s="22">
        <f>C39/$B$8</f>
        <v>132.65141505315685</v>
      </c>
      <c r="E39" s="22">
        <f>B39+D39</f>
        <v>182.65141505315685</v>
      </c>
    </row>
    <row r="41" spans="1:9">
      <c r="A41" s="18" t="s">
        <v>527</v>
      </c>
      <c r="B41" s="18"/>
      <c r="C41" s="18"/>
      <c r="D41" s="18"/>
      <c r="E41" s="18"/>
      <c r="F41" s="18"/>
      <c r="G41" s="18"/>
      <c r="H41" s="18"/>
      <c r="I41" s="18"/>
    </row>
    <row r="42" spans="1:9">
      <c r="A42" s="18"/>
      <c r="B42" s="18"/>
      <c r="C42" s="18"/>
      <c r="D42" s="18"/>
      <c r="E42" s="18"/>
      <c r="F42" s="18"/>
      <c r="G42" s="18"/>
      <c r="H42" s="18"/>
      <c r="I42" s="18"/>
    </row>
  </sheetData>
  <mergeCells count="13">
    <mergeCell ref="A1:I1"/>
    <mergeCell ref="A2:I2"/>
    <mergeCell ref="A3:I3"/>
    <mergeCell ref="C6:I6"/>
    <mergeCell ref="C7:I7"/>
    <mergeCell ref="C8:I8"/>
    <mergeCell ref="C9:I9"/>
    <mergeCell ref="C10:I10"/>
    <mergeCell ref="C11:I11"/>
    <mergeCell ref="A28:I29"/>
    <mergeCell ref="A31:I32"/>
    <mergeCell ref="A34:I35"/>
    <mergeCell ref="A41:I42"/>
  </mergeCells>
  <dataValidations count="2">
    <dataValidation type="decimal" operator="greaterThanOrEqual" allowBlank="1" showInputMessage="1" showErrorMessage="1" promptTitle="Monthly total budget increase" prompt="Enter e.g. 10% for +10% over the previous monthly budget." sqref="C15:E15">
      <formula1>-1</formula1>
    </dataValidation>
    <dataValidation type="decimal" operator="greaterThan" allowBlank="1" showInputMessage="1" showErrorMessage="1" sqref="B9">
      <formula1>0</formula1>
    </dataValidation>
  </dataValidations>
  <pageMargins left="0.7" right="0.7" top="0.75" bottom="0.75" header="0.3" footer="0.3"/>
  <pageSetup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H17"/>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7.7109375" customWidth="1"/>
    <col min="2" max="8" width="21.7109375" customWidth="1"/>
  </cols>
  <sheetData>
    <row r="1" spans="1:8" ht="32" customHeight="1">
      <c r="A1" s="1" t="s">
        <v>528</v>
      </c>
      <c r="B1" s="1"/>
      <c r="C1" s="1"/>
      <c r="D1" s="1"/>
      <c r="E1" s="1"/>
      <c r="F1" s="1"/>
      <c r="G1" s="1"/>
      <c r="H1" s="1"/>
    </row>
    <row r="2" spans="1:8" ht="32" customHeight="1">
      <c r="A2" s="3" t="s">
        <v>529</v>
      </c>
      <c r="B2" s="3"/>
      <c r="C2" s="3"/>
      <c r="D2" s="3"/>
      <c r="E2" s="3"/>
      <c r="F2" s="3"/>
      <c r="G2" s="3"/>
      <c r="H2" s="3"/>
    </row>
    <row r="3" spans="1:8" ht="26" customHeight="1">
      <c r="A3" s="3"/>
      <c r="B3" s="3"/>
      <c r="C3" s="3"/>
      <c r="D3" s="3"/>
      <c r="E3" s="3"/>
      <c r="F3" s="3"/>
      <c r="G3" s="3"/>
      <c r="H3" s="3"/>
    </row>
    <row r="5" spans="1:8" ht="44" customHeight="1">
      <c r="A5" s="10" t="s">
        <v>30</v>
      </c>
      <c r="B5" s="10" t="s">
        <v>530</v>
      </c>
      <c r="C5" s="10" t="s">
        <v>531</v>
      </c>
      <c r="D5" s="10" t="s">
        <v>532</v>
      </c>
      <c r="E5" s="10" t="s">
        <v>533</v>
      </c>
      <c r="F5" s="10" t="s">
        <v>534</v>
      </c>
      <c r="G5" s="10" t="s">
        <v>535</v>
      </c>
      <c r="H5" s="10" t="s">
        <v>536</v>
      </c>
    </row>
    <row r="6" spans="1:8">
      <c r="A6" t="s">
        <v>344</v>
      </c>
      <c r="B6" s="20">
        <v>937.5</v>
      </c>
      <c r="C6" s="20">
        <v>937.5</v>
      </c>
      <c r="D6" s="20">
        <v>937.5</v>
      </c>
      <c r="E6">
        <v>6</v>
      </c>
      <c r="F6">
        <v>2</v>
      </c>
      <c r="G6" s="16">
        <f>B6*E6+C6*F6+D6*H6</f>
        <v>28125.0</v>
      </c>
      <c r="H6">
        <v>22</v>
      </c>
    </row>
    <row r="7" spans="1:8">
      <c r="A7" t="s">
        <v>330</v>
      </c>
      <c r="B7" s="20">
        <v>937.5</v>
      </c>
      <c r="C7" s="20">
        <v>937.5</v>
      </c>
      <c r="D7" s="20">
        <v>937.5</v>
      </c>
      <c r="E7">
        <v>6</v>
      </c>
      <c r="F7">
        <v>2</v>
      </c>
      <c r="G7" s="16">
        <f>B7*E7+C7*F7+D7*H7</f>
        <v>28125.0</v>
      </c>
      <c r="H7">
        <v>22</v>
      </c>
    </row>
    <row r="8" spans="1:8">
      <c r="A8" t="s">
        <v>537</v>
      </c>
      <c r="B8" s="20">
        <v>937.5</v>
      </c>
      <c r="C8" s="20">
        <v>937.5</v>
      </c>
      <c r="D8" s="20">
        <v>937.5</v>
      </c>
      <c r="E8">
        <v>6</v>
      </c>
      <c r="F8">
        <v>2</v>
      </c>
      <c r="G8" s="16">
        <f>B8*E8+C8*F8+D8*H8</f>
        <v>28125.0</v>
      </c>
      <c r="H8">
        <v>22</v>
      </c>
    </row>
    <row r="9" spans="1:8">
      <c r="A9" t="s">
        <v>36</v>
      </c>
      <c r="B9" s="20">
        <v>450</v>
      </c>
      <c r="C9" s="20">
        <v>500</v>
      </c>
      <c r="D9" s="20">
        <v>500</v>
      </c>
      <c r="E9">
        <v>6</v>
      </c>
      <c r="F9">
        <v>2</v>
      </c>
      <c r="G9" s="16">
        <f>B9*E9+C9*F9+D9*H9</f>
        <v>14700</v>
      </c>
      <c r="H9">
        <v>22</v>
      </c>
    </row>
    <row r="10" spans="1:8">
      <c r="A10" t="s">
        <v>38</v>
      </c>
      <c r="B10" s="20">
        <v>400</v>
      </c>
      <c r="C10" s="20">
        <v>400</v>
      </c>
      <c r="D10" s="20">
        <v>937.5</v>
      </c>
      <c r="E10">
        <v>6</v>
      </c>
      <c r="F10">
        <v>2</v>
      </c>
      <c r="G10" s="16">
        <f>B10*E10+C10*F10+D10*H10</f>
        <v>23825.0</v>
      </c>
      <c r="H10">
        <v>22</v>
      </c>
    </row>
    <row r="11" spans="1:8">
      <c r="A11" s="4" t="s">
        <v>538</v>
      </c>
      <c r="B11" s="16">
        <f>SUM(B6:B10)</f>
        <v>3662.5</v>
      </c>
      <c r="C11" s="16">
        <f>SUM(C6:C10)</f>
        <v>3712.5</v>
      </c>
      <c r="D11" s="16">
        <f>SUM(D6:D10)</f>
        <v>4250</v>
      </c>
      <c r="G11" s="16">
        <f>SUM(G6:G10)</f>
        <v>123000</v>
      </c>
    </row>
    <row r="13" spans="1:8">
      <c r="A13" s="18" t="s">
        <v>539</v>
      </c>
      <c r="B13" s="18"/>
      <c r="C13" s="18"/>
      <c r="D13" s="18"/>
      <c r="E13" s="18"/>
      <c r="F13" s="18"/>
      <c r="G13" s="18"/>
      <c r="H13" s="18"/>
    </row>
    <row r="14" spans="1:8">
      <c r="A14" s="18"/>
      <c r="B14" s="18"/>
      <c r="C14" s="18"/>
      <c r="D14" s="18"/>
      <c r="E14" s="18"/>
      <c r="F14" s="18"/>
      <c r="G14" s="18"/>
      <c r="H14" s="18"/>
    </row>
    <row r="16" spans="1:8">
      <c r="A16" s="18" t="s">
        <v>540</v>
      </c>
      <c r="B16" s="18"/>
      <c r="C16" s="18"/>
      <c r="D16" s="18"/>
      <c r="E16" s="18"/>
      <c r="F16" s="18"/>
      <c r="G16" s="18"/>
      <c r="H16" s="18"/>
    </row>
    <row r="17" spans="1:8">
      <c r="A17" s="18"/>
      <c r="B17" s="18"/>
      <c r="C17" s="18"/>
      <c r="D17" s="18"/>
      <c r="E17" s="18"/>
      <c r="F17" s="18"/>
      <c r="G17" s="18"/>
      <c r="H17" s="18"/>
    </row>
  </sheetData>
  <mergeCells count="4">
    <mergeCell ref="A1:H1"/>
    <mergeCell ref="A2:H3"/>
    <mergeCell ref="A13:H14"/>
    <mergeCell ref="A16:H17"/>
  </mergeCells>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sheetPr>
    <pageSetUpPr fitToPage="1"/>
  </sheetPr>
  <dimension ref="A1:M13"/>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13" width="19.7109375" customWidth="1"/>
  </cols>
  <sheetData>
    <row r="1" spans="1:13" ht="32" customHeight="1">
      <c r="A1" s="1" t="s">
        <v>42</v>
      </c>
      <c r="B1" s="1"/>
      <c r="C1" s="1"/>
      <c r="D1" s="1"/>
      <c r="E1" s="1"/>
      <c r="F1" s="1"/>
      <c r="G1" s="1"/>
      <c r="H1" s="1"/>
      <c r="I1" s="1"/>
      <c r="J1" s="1"/>
      <c r="K1" s="1"/>
      <c r="L1" s="1"/>
      <c r="M1" s="1"/>
    </row>
    <row r="2" spans="1:13" ht="30" customHeight="1">
      <c r="A2" s="2" t="s">
        <v>43</v>
      </c>
      <c r="B2" s="2"/>
      <c r="C2" s="2"/>
      <c r="D2" s="2"/>
      <c r="E2" s="2"/>
      <c r="F2" s="2"/>
      <c r="G2" s="2"/>
      <c r="H2" s="2"/>
      <c r="I2" s="2"/>
      <c r="J2" s="2"/>
      <c r="K2" s="2"/>
      <c r="L2" s="2"/>
      <c r="M2" s="2"/>
    </row>
    <row r="4" spans="1:13" ht="46" customHeight="1">
      <c r="A4" s="10" t="s">
        <v>30</v>
      </c>
      <c r="B4" s="10" t="s">
        <v>44</v>
      </c>
      <c r="C4" s="10" t="s">
        <v>31</v>
      </c>
      <c r="D4" s="10" t="s">
        <v>32</v>
      </c>
      <c r="E4" s="10" t="s">
        <v>45</v>
      </c>
      <c r="F4" s="10" t="s">
        <v>46</v>
      </c>
      <c r="G4" s="10" t="s">
        <v>47</v>
      </c>
      <c r="H4" s="10" t="s">
        <v>48</v>
      </c>
      <c r="I4" s="10" t="s">
        <v>49</v>
      </c>
      <c r="J4" s="10" t="s">
        <v>50</v>
      </c>
      <c r="K4" s="10" t="s">
        <v>6</v>
      </c>
      <c r="L4" s="10" t="s">
        <v>51</v>
      </c>
      <c r="M4" s="10" t="s">
        <v>52</v>
      </c>
    </row>
    <row r="5" spans="1:13" ht="30" customHeight="1">
      <c r="A5" s="14" t="s">
        <v>37</v>
      </c>
      <c r="B5" s="6">
        <v>4</v>
      </c>
      <c r="C5" s="6">
        <v>18</v>
      </c>
      <c r="D5" s="6">
        <v>27</v>
      </c>
      <c r="E5" s="6">
        <v>9</v>
      </c>
      <c r="F5" s="21">
        <v>0.5</v>
      </c>
      <c r="G5" s="6">
        <v>5</v>
      </c>
      <c r="H5" s="22">
        <v>0.8709677419354839</v>
      </c>
      <c r="I5" s="22">
        <v>0.625</v>
      </c>
      <c r="J5" s="21">
        <v>-0.2824074074074074</v>
      </c>
      <c r="K5" s="16">
        <v>1055.231481481482</v>
      </c>
      <c r="L5" s="16">
        <v>1724.506</v>
      </c>
      <c r="M5" s="21">
        <v>0.6342442679770106</v>
      </c>
    </row>
    <row r="6" spans="1:13" ht="30" customHeight="1">
      <c r="A6" s="11" t="s">
        <v>36</v>
      </c>
      <c r="B6" s="19" t="s">
        <v>53</v>
      </c>
      <c r="C6" s="19" t="s">
        <v>53</v>
      </c>
      <c r="D6" s="19">
        <v>13</v>
      </c>
      <c r="E6" s="19" t="s">
        <v>53</v>
      </c>
      <c r="F6" s="24" t="s">
        <v>53</v>
      </c>
      <c r="G6" s="19">
        <v>6</v>
      </c>
      <c r="H6" s="17">
        <v>0.4193548387096774</v>
      </c>
      <c r="I6" s="17">
        <v>0.75</v>
      </c>
      <c r="J6" s="24">
        <v>0.7884615384615383</v>
      </c>
      <c r="K6" s="12">
        <v>795.9476923076923</v>
      </c>
      <c r="L6" s="12">
        <v>672.6916666666667</v>
      </c>
      <c r="M6" s="24">
        <v>-0.1548544292950573</v>
      </c>
    </row>
    <row r="7" spans="1:13" ht="30" customHeight="1">
      <c r="A7" s="14" t="s">
        <v>35</v>
      </c>
      <c r="B7" s="6">
        <v>5</v>
      </c>
      <c r="C7" s="6" t="s">
        <v>53</v>
      </c>
      <c r="D7" s="6">
        <v>14</v>
      </c>
      <c r="E7" s="6" t="s">
        <v>53</v>
      </c>
      <c r="F7" s="21" t="s">
        <v>53</v>
      </c>
      <c r="G7" s="6">
        <v>4</v>
      </c>
      <c r="H7" s="22">
        <v>0.4516129032258064</v>
      </c>
      <c r="I7" s="22">
        <v>0.5</v>
      </c>
      <c r="J7" s="21">
        <v>0.1071428571428572</v>
      </c>
      <c r="K7" s="16">
        <v>2034.652857142857</v>
      </c>
      <c r="L7" s="16">
        <v>2413.105</v>
      </c>
      <c r="M7" s="21">
        <v>0.1860032985619871</v>
      </c>
    </row>
    <row r="8" spans="1:13" ht="30" customHeight="1">
      <c r="A8" s="11" t="s">
        <v>38</v>
      </c>
      <c r="B8" s="19" t="s">
        <v>53</v>
      </c>
      <c r="C8" s="19" t="s">
        <v>53</v>
      </c>
      <c r="D8" s="19">
        <v>5</v>
      </c>
      <c r="E8" s="19" t="s">
        <v>53</v>
      </c>
      <c r="F8" s="24" t="s">
        <v>53</v>
      </c>
      <c r="G8" s="19">
        <v>4</v>
      </c>
      <c r="H8" s="17">
        <v>0.1612903225806452</v>
      </c>
      <c r="I8" s="17">
        <v>0.5</v>
      </c>
      <c r="J8" s="24">
        <v>2.1</v>
      </c>
      <c r="K8" s="12">
        <v>1618.94</v>
      </c>
      <c r="L8" s="12">
        <v>959.7225</v>
      </c>
      <c r="M8" s="24">
        <v>-0.4071908162130777</v>
      </c>
    </row>
    <row r="9" spans="1:13" ht="30" customHeight="1">
      <c r="A9" s="14" t="s">
        <v>34</v>
      </c>
      <c r="B9" s="6" t="s">
        <v>53</v>
      </c>
      <c r="C9" s="6">
        <v>34</v>
      </c>
      <c r="D9" s="6">
        <v>119</v>
      </c>
      <c r="E9" s="6">
        <v>85</v>
      </c>
      <c r="F9" s="21">
        <v>2.5</v>
      </c>
      <c r="G9" s="6">
        <v>23</v>
      </c>
      <c r="H9" s="22">
        <v>3.838709677419355</v>
      </c>
      <c r="I9" s="22">
        <v>2.875</v>
      </c>
      <c r="J9" s="21">
        <v>-0.2510504201680672</v>
      </c>
      <c r="K9" s="16">
        <v>239.5011764705882</v>
      </c>
      <c r="L9" s="16">
        <v>370.4660869565217</v>
      </c>
      <c r="M9" s="21">
        <v>0.5468236624800737</v>
      </c>
    </row>
    <row r="10" spans="1:13" ht="30" customHeight="1">
      <c r="A10" s="11" t="s">
        <v>40</v>
      </c>
      <c r="B10" s="19" t="s">
        <v>53</v>
      </c>
      <c r="C10" s="19">
        <v>2</v>
      </c>
      <c r="D10" s="19" t="s">
        <v>53</v>
      </c>
      <c r="E10" s="19" t="s">
        <v>53</v>
      </c>
      <c r="F10" s="24" t="s">
        <v>53</v>
      </c>
      <c r="G10" s="19" t="s">
        <v>53</v>
      </c>
      <c r="H10" s="17" t="s">
        <v>53</v>
      </c>
      <c r="I10" s="17" t="s">
        <v>53</v>
      </c>
      <c r="J10" s="24" t="s">
        <v>53</v>
      </c>
      <c r="K10" s="12" t="s">
        <v>53</v>
      </c>
      <c r="L10" s="12" t="s">
        <v>53</v>
      </c>
      <c r="M10" s="24" t="s">
        <v>53</v>
      </c>
    </row>
    <row r="11" spans="1:13" ht="30" customHeight="1">
      <c r="A11" s="14" t="s">
        <v>41</v>
      </c>
      <c r="B11" s="6">
        <v>0</v>
      </c>
      <c r="C11" s="6">
        <v>13</v>
      </c>
      <c r="D11" s="6">
        <v>10</v>
      </c>
      <c r="E11" s="6">
        <v>-3</v>
      </c>
      <c r="F11" s="21">
        <v>-0.2307692307692307</v>
      </c>
      <c r="G11" s="6">
        <v>8</v>
      </c>
      <c r="H11" s="22">
        <v>0.3225806451612903</v>
      </c>
      <c r="I11" s="22">
        <v>1</v>
      </c>
      <c r="J11" s="21">
        <v>2.1</v>
      </c>
      <c r="K11" s="16">
        <v>1520.015</v>
      </c>
      <c r="L11" s="16">
        <v>534.9575</v>
      </c>
      <c r="M11" s="21">
        <v>-0.6480577494301043</v>
      </c>
    </row>
    <row r="12" spans="1:13" ht="30" customHeight="1">
      <c r="A12" s="11" t="s">
        <v>54</v>
      </c>
      <c r="B12" s="19">
        <v>0</v>
      </c>
      <c r="C12" s="19" t="s">
        <v>53</v>
      </c>
      <c r="D12" s="19" t="s">
        <v>53</v>
      </c>
      <c r="E12" s="19" t="s">
        <v>53</v>
      </c>
      <c r="F12" s="24" t="s">
        <v>53</v>
      </c>
      <c r="G12" s="19" t="s">
        <v>53</v>
      </c>
      <c r="H12" s="17" t="s">
        <v>53</v>
      </c>
      <c r="I12" s="17" t="s">
        <v>53</v>
      </c>
      <c r="J12" s="24" t="s">
        <v>53</v>
      </c>
      <c r="K12" s="12" t="s">
        <v>53</v>
      </c>
      <c r="L12" s="12" t="s">
        <v>53</v>
      </c>
      <c r="M12" s="24" t="s">
        <v>53</v>
      </c>
    </row>
    <row r="13" spans="1:13" ht="30" customHeight="1">
      <c r="A13" s="14" t="s">
        <v>39</v>
      </c>
      <c r="B13" s="6" t="s">
        <v>53</v>
      </c>
      <c r="C13" s="6">
        <v>0</v>
      </c>
      <c r="D13" s="6" t="s">
        <v>53</v>
      </c>
      <c r="E13" s="6" t="s">
        <v>53</v>
      </c>
      <c r="F13" s="21" t="s">
        <v>53</v>
      </c>
      <c r="G13" s="6" t="s">
        <v>53</v>
      </c>
      <c r="H13" s="22" t="s">
        <v>53</v>
      </c>
      <c r="I13" s="22" t="s">
        <v>53</v>
      </c>
      <c r="J13" s="21" t="s">
        <v>53</v>
      </c>
      <c r="K13" s="16" t="s">
        <v>53</v>
      </c>
      <c r="L13" s="16" t="s">
        <v>53</v>
      </c>
      <c r="M13" s="21" t="s">
        <v>53</v>
      </c>
    </row>
  </sheetData>
  <autoFilter ref="A4:M13"/>
  <mergeCells count="2">
    <mergeCell ref="A1:M1"/>
    <mergeCell ref="A2:M2"/>
  </mergeCells>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sheetPr>
    <pageSetUpPr fitToPage="1"/>
  </sheetPr>
  <dimension ref="A1:O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4.42578125" customWidth="1"/>
    <col min="2" max="2" width="22.42578125" customWidth="1"/>
    <col min="3" max="15" width="15.7109375" customWidth="1"/>
  </cols>
  <sheetData>
    <row r="1" spans="1:15" ht="42" customHeight="1">
      <c r="A1" s="10" t="s">
        <v>30</v>
      </c>
      <c r="B1" s="10" t="s">
        <v>84</v>
      </c>
      <c r="C1" s="10" t="s">
        <v>19</v>
      </c>
      <c r="D1" s="10" t="s">
        <v>85</v>
      </c>
      <c r="E1" s="10" t="s">
        <v>86</v>
      </c>
      <c r="F1" s="10" t="s">
        <v>61</v>
      </c>
      <c r="G1" s="10" t="s">
        <v>87</v>
      </c>
      <c r="H1" s="10" t="s">
        <v>51</v>
      </c>
      <c r="I1" s="10" t="s">
        <v>88</v>
      </c>
      <c r="J1" s="10" t="s">
        <v>89</v>
      </c>
      <c r="K1" s="10" t="s">
        <v>49</v>
      </c>
      <c r="L1" s="10" t="s">
        <v>48</v>
      </c>
      <c r="M1" s="10" t="s">
        <v>90</v>
      </c>
      <c r="N1" s="10" t="s">
        <v>91</v>
      </c>
      <c r="O1" s="10" t="s">
        <v>92</v>
      </c>
    </row>
    <row r="2" spans="1:15" ht="21" customHeight="1">
      <c r="A2" s="14" t="s">
        <v>37</v>
      </c>
      <c r="B2" s="16">
        <v>8622.530000000001</v>
      </c>
      <c r="C2" s="6">
        <v>12515</v>
      </c>
      <c r="D2" s="6">
        <v>10786</v>
      </c>
      <c r="E2" s="6">
        <v>207</v>
      </c>
      <c r="F2" s="6">
        <v>24</v>
      </c>
      <c r="G2" s="6">
        <v>5</v>
      </c>
      <c r="H2" s="16">
        <v>1724.506</v>
      </c>
      <c r="I2" s="16">
        <v>1055.231481481482</v>
      </c>
      <c r="J2" s="15">
        <v>0.6342442679770106</v>
      </c>
      <c r="K2" s="22">
        <v>0.625</v>
      </c>
      <c r="L2" s="22">
        <v>0.8709677419354839</v>
      </c>
      <c r="M2" s="15">
        <v>-0.2824074074074074</v>
      </c>
      <c r="N2" s="15">
        <v>0.2213722231650174</v>
      </c>
      <c r="O2" s="15">
        <v>0.1</v>
      </c>
    </row>
    <row r="3" spans="1:15" ht="21" customHeight="1">
      <c r="A3" s="11" t="s">
        <v>36</v>
      </c>
      <c r="B3" s="12">
        <v>4036.15</v>
      </c>
      <c r="C3" s="19">
        <v>9560</v>
      </c>
      <c r="D3" s="19">
        <v>8512</v>
      </c>
      <c r="E3" s="19">
        <v>312</v>
      </c>
      <c r="F3" s="19">
        <v>26</v>
      </c>
      <c r="G3" s="19">
        <v>6</v>
      </c>
      <c r="H3" s="12">
        <v>672.6916666666667</v>
      </c>
      <c r="I3" s="12">
        <v>795.9476923076923</v>
      </c>
      <c r="J3" s="13">
        <v>-0.1548544292950573</v>
      </c>
      <c r="K3" s="17">
        <v>0.75</v>
      </c>
      <c r="L3" s="17">
        <v>0.4193548387096774</v>
      </c>
      <c r="M3" s="13">
        <v>0.7884615384615383</v>
      </c>
      <c r="N3" s="13">
        <v>0.1036228924141157</v>
      </c>
      <c r="O3" s="13">
        <v>0.12</v>
      </c>
    </row>
    <row r="4" spans="1:15" ht="21" customHeight="1">
      <c r="A4" s="14" t="s">
        <v>35</v>
      </c>
      <c r="B4" s="16">
        <v>9652.42</v>
      </c>
      <c r="C4" s="6">
        <v>20470</v>
      </c>
      <c r="D4" s="6">
        <v>17617</v>
      </c>
      <c r="E4" s="6">
        <v>319</v>
      </c>
      <c r="F4" s="6">
        <v>25</v>
      </c>
      <c r="G4" s="6">
        <v>4</v>
      </c>
      <c r="H4" s="16">
        <v>2413.105</v>
      </c>
      <c r="I4" s="16">
        <v>2034.652857142857</v>
      </c>
      <c r="J4" s="15">
        <v>0.1860032985619871</v>
      </c>
      <c r="K4" s="22">
        <v>0.5</v>
      </c>
      <c r="L4" s="22">
        <v>0.4516129032258064</v>
      </c>
      <c r="M4" s="15">
        <v>0.1071428571428572</v>
      </c>
      <c r="N4" s="15">
        <v>0.2478133070366212</v>
      </c>
      <c r="O4" s="15">
        <v>0.08</v>
      </c>
    </row>
    <row r="5" spans="1:15" ht="21" customHeight="1">
      <c r="A5" s="11" t="s">
        <v>38</v>
      </c>
      <c r="B5" s="12">
        <v>3838.89</v>
      </c>
      <c r="C5" s="19">
        <v>7075</v>
      </c>
      <c r="D5" s="19">
        <v>6263</v>
      </c>
      <c r="E5" s="19">
        <v>168</v>
      </c>
      <c r="F5" s="19">
        <v>12</v>
      </c>
      <c r="G5" s="19">
        <v>4</v>
      </c>
      <c r="H5" s="12">
        <v>959.7225</v>
      </c>
      <c r="I5" s="12">
        <v>1618.94</v>
      </c>
      <c r="J5" s="13">
        <v>-0.4071908162130777</v>
      </c>
      <c r="K5" s="17">
        <v>0.5</v>
      </c>
      <c r="L5" s="17">
        <v>0.1612903225806452</v>
      </c>
      <c r="M5" s="13">
        <v>2.1</v>
      </c>
      <c r="N5" s="13">
        <v>0.09855849893081887</v>
      </c>
      <c r="O5" s="13">
        <v>0.08</v>
      </c>
    </row>
    <row r="6" spans="1:15" ht="21" customHeight="1">
      <c r="A6" s="14" t="s">
        <v>34</v>
      </c>
      <c r="B6" s="16">
        <v>8520.719999999999</v>
      </c>
      <c r="C6" s="6">
        <v>8706</v>
      </c>
      <c r="D6" s="6">
        <v>7632</v>
      </c>
      <c r="E6" s="6">
        <v>1166</v>
      </c>
      <c r="F6" s="6">
        <v>128</v>
      </c>
      <c r="G6" s="6">
        <v>23</v>
      </c>
      <c r="H6" s="16">
        <v>370.4660869565217</v>
      </c>
      <c r="I6" s="16">
        <v>239.5011764705882</v>
      </c>
      <c r="J6" s="15">
        <v>0.5468236624800737</v>
      </c>
      <c r="K6" s="22">
        <v>2.875</v>
      </c>
      <c r="L6" s="22">
        <v>3.838709677419355</v>
      </c>
      <c r="M6" s="15">
        <v>-0.2510504201680672</v>
      </c>
      <c r="N6" s="15">
        <v>0.2187583840666982</v>
      </c>
      <c r="O6" s="15">
        <v>0.46</v>
      </c>
    </row>
    <row r="7" spans="1:15" ht="21" customHeight="1">
      <c r="A7" s="11" t="s">
        <v>41</v>
      </c>
      <c r="B7" s="12">
        <v>4279.66</v>
      </c>
      <c r="C7" s="19">
        <v>775</v>
      </c>
      <c r="D7" s="19">
        <v>670</v>
      </c>
      <c r="E7" s="19">
        <v>304</v>
      </c>
      <c r="F7" s="19">
        <v>35</v>
      </c>
      <c r="G7" s="19">
        <v>8</v>
      </c>
      <c r="H7" s="12">
        <v>534.9575</v>
      </c>
      <c r="I7" s="12">
        <v>1520.015</v>
      </c>
      <c r="J7" s="13">
        <v>-0.6480577494301043</v>
      </c>
      <c r="K7" s="17">
        <v>1</v>
      </c>
      <c r="L7" s="17">
        <v>0.3225806451612903</v>
      </c>
      <c r="M7" s="13">
        <v>2.1</v>
      </c>
      <c r="N7" s="13">
        <v>0.1098746943867285</v>
      </c>
      <c r="O7" s="13">
        <v>0.16</v>
      </c>
    </row>
  </sheetData>
  <autoFilter ref="A1:O7"/>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pageSetUpPr fitToPage="1"/>
  </sheetPr>
  <dimension ref="A1:F2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42578125" customWidth="1"/>
    <col min="2" max="2" width="26.42578125" customWidth="1"/>
    <col min="3" max="3" width="25.42578125" customWidth="1"/>
    <col min="4" max="4" width="26.42578125" customWidth="1"/>
    <col min="5" max="5" width="27.42578125" customWidth="1"/>
    <col min="6" max="6" width="81.42578125" customWidth="1"/>
  </cols>
  <sheetData>
    <row r="1" spans="1:6" ht="42" customHeight="1">
      <c r="A1" s="10" t="s">
        <v>93</v>
      </c>
      <c r="B1" s="10" t="s">
        <v>94</v>
      </c>
      <c r="C1" s="10" t="s">
        <v>95</v>
      </c>
      <c r="D1" s="10" t="s">
        <v>96</v>
      </c>
      <c r="E1" s="10" t="s">
        <v>97</v>
      </c>
      <c r="F1" s="10" t="s">
        <v>98</v>
      </c>
    </row>
    <row r="2" spans="1:6" ht="21" customHeight="1">
      <c r="A2" s="14" t="s">
        <v>99</v>
      </c>
      <c r="B2" s="6">
        <v>8</v>
      </c>
      <c r="C2" s="18" t="s">
        <v>100</v>
      </c>
      <c r="D2" s="18"/>
      <c r="E2" s="18"/>
      <c r="F2" s="18"/>
    </row>
    <row r="3" spans="1:6" ht="21" customHeight="1">
      <c r="A3" s="11" t="s">
        <v>101</v>
      </c>
      <c r="B3" s="19">
        <v>30</v>
      </c>
      <c r="C3" s="18"/>
      <c r="D3" s="18"/>
      <c r="E3" s="18"/>
      <c r="F3" s="18"/>
    </row>
    <row r="4" spans="1:6" ht="21" customHeight="1">
      <c r="A4" s="14" t="s">
        <v>102</v>
      </c>
      <c r="B4" s="16">
        <v>38950.37</v>
      </c>
      <c r="C4" s="18"/>
      <c r="D4" s="18"/>
      <c r="E4" s="18"/>
      <c r="F4" s="18"/>
    </row>
    <row r="5" spans="1:6" ht="21" customHeight="1">
      <c r="A5" s="11" t="s">
        <v>103</v>
      </c>
      <c r="B5" s="19">
        <v>50</v>
      </c>
    </row>
    <row r="6" spans="1:6" ht="21" customHeight="1">
      <c r="A6" s="14" t="s">
        <v>104</v>
      </c>
      <c r="B6" s="16">
        <f>B4/B5</f>
        <v>779.0074000000001</v>
      </c>
    </row>
    <row r="7" spans="1:6" ht="21" customHeight="1">
      <c r="A7" s="11" t="s">
        <v>105</v>
      </c>
      <c r="B7" s="12">
        <f>B4/B2*B3</f>
        <v>146063.8875</v>
      </c>
      <c r="C7" s="18" t="s">
        <v>106</v>
      </c>
      <c r="D7" s="18"/>
      <c r="E7" s="18"/>
      <c r="F7" s="18"/>
    </row>
    <row r="8" spans="1:6" ht="21" customHeight="1">
      <c r="A8" s="14" t="s">
        <v>107</v>
      </c>
      <c r="B8" s="16">
        <f>MAX(0,B7-B4)</f>
        <v>107113.51750000002</v>
      </c>
      <c r="C8" s="18"/>
      <c r="D8" s="18"/>
      <c r="E8" s="18"/>
      <c r="F8" s="18"/>
    </row>
    <row r="9" spans="1:6" ht="21" customHeight="1">
      <c r="A9" s="11" t="s">
        <v>108</v>
      </c>
      <c r="B9" s="12">
        <v>633.6127659574468</v>
      </c>
    </row>
    <row r="10" spans="1:6" ht="21" customHeight="1">
      <c r="A10" s="14" t="s">
        <v>109</v>
      </c>
      <c r="B10" s="15">
        <v>0.2</v>
      </c>
    </row>
    <row r="13" spans="1:6" ht="42" customHeight="1">
      <c r="A13" s="11" t="s">
        <v>110</v>
      </c>
      <c r="B13" s="12">
        <f>$B$7</f>
        <v>146063.8875</v>
      </c>
      <c r="C13" s="12">
        <f>$B$6*(1+$B$10)</f>
        <v>934.80888</v>
      </c>
      <c r="D13" s="17">
        <f>IFERROR($B$8/C13,"N/A")</f>
        <v>114.58333333333334</v>
      </c>
      <c r="E13" s="17">
        <f>IFERROR($B$5+D13,"N/A")</f>
        <v>164.58333333333334</v>
      </c>
      <c r="F13" s="11" t="s">
        <v>111</v>
      </c>
    </row>
    <row r="14" spans="1:6" ht="42" customHeight="1">
      <c r="A14" s="14" t="s">
        <v>112</v>
      </c>
      <c r="B14" s="16">
        <f>$B$7</f>
        <v>146063.8875</v>
      </c>
      <c r="C14" s="16">
        <f>$B$6</f>
        <v>779.0074000000001</v>
      </c>
      <c r="D14" s="22">
        <f>IFERROR($B$8/C14,"N/A")</f>
        <v>137.5</v>
      </c>
      <c r="E14" s="22">
        <f>IFERROR($B$5+D14,"N/A")</f>
        <v>187.5</v>
      </c>
      <c r="F14" s="14" t="s">
        <v>113</v>
      </c>
    </row>
    <row r="15" spans="1:6" ht="42" customHeight="1">
      <c r="A15" s="11" t="s">
        <v>114</v>
      </c>
      <c r="B15" s="12">
        <f>$B$7</f>
        <v>146063.8875</v>
      </c>
      <c r="C15" s="12">
        <f>$B$6*(1-$B$10)</f>
        <v>623.2059200000001</v>
      </c>
      <c r="D15" s="17">
        <f>IFERROR($B$8/C15,"N/A")</f>
        <v>171.875</v>
      </c>
      <c r="E15" s="17">
        <f>IFERROR($B$5+D15,"N/A")</f>
        <v>221.875</v>
      </c>
      <c r="F15" s="11" t="s">
        <v>115</v>
      </c>
    </row>
    <row r="16" spans="1:6" ht="42" customHeight="1">
      <c r="A16" s="14" t="s">
        <v>116</v>
      </c>
      <c r="B16" s="16">
        <f>$B$7</f>
        <v>146063.8875</v>
      </c>
      <c r="C16" s="16">
        <f>$B$9</f>
        <v>633.6127659574468</v>
      </c>
      <c r="D16" s="22">
        <f>IFERROR($B$8/C16,"N/A")</f>
        <v>169.05201923787268</v>
      </c>
      <c r="E16" s="22">
        <f>IFERROR($B$5+D16,"N/A")</f>
        <v>219.05201923787268</v>
      </c>
      <c r="F16" s="14" t="s">
        <v>117</v>
      </c>
    </row>
    <row r="19" spans="1:6" ht="21" customHeight="1">
      <c r="A19" s="18" t="s">
        <v>118</v>
      </c>
      <c r="B19" s="18"/>
      <c r="C19" s="18"/>
      <c r="D19" s="18"/>
      <c r="E19" s="18"/>
      <c r="F19" s="18"/>
    </row>
    <row r="20" spans="1:6" ht="21" customHeight="1">
      <c r="A20" s="18"/>
      <c r="B20" s="18"/>
      <c r="C20" s="18"/>
      <c r="D20" s="18"/>
      <c r="E20" s="18"/>
      <c r="F20" s="18"/>
    </row>
    <row r="23" spans="1:6" ht="21" customHeight="1">
      <c r="A23" s="11" t="s">
        <v>119</v>
      </c>
      <c r="B23" s="11" t="s">
        <v>120</v>
      </c>
      <c r="C23" s="11" t="s">
        <v>121</v>
      </c>
      <c r="D23" s="11" t="s">
        <v>122</v>
      </c>
    </row>
    <row r="24" spans="1:6" ht="21" customHeight="1">
      <c r="A24" s="16">
        <f>$B$8*0.8</f>
        <v>85690.81400000001</v>
      </c>
      <c r="B24" s="22">
        <f>IFERROR($B$5+A24/($B$6*1.2),"N/A")</f>
        <v>141.66666666666669</v>
      </c>
      <c r="C24" s="22">
        <f>IFERROR($B$5+A24/($B$6*1),"N/A")</f>
        <v>160.0</v>
      </c>
      <c r="D24" s="22">
        <f>IFERROR($B$5+A24/($B$6*0.8),"N/A")</f>
        <v>187.5</v>
      </c>
    </row>
    <row r="25" spans="1:6" ht="21" customHeight="1">
      <c r="A25" s="12">
        <f>$B$8*1</f>
        <v>107113.51750000002</v>
      </c>
      <c r="B25" s="17">
        <f>IFERROR($B$5+A25/($B$6*1.2),"N/A")</f>
        <v>164.58333333333334</v>
      </c>
      <c r="C25" s="17">
        <f>IFERROR($B$5+A25/($B$6*1),"N/A")</f>
        <v>187.5</v>
      </c>
      <c r="D25" s="17">
        <f>IFERROR($B$5+A25/($B$6*0.8),"N/A")</f>
        <v>221.875</v>
      </c>
    </row>
    <row r="26" spans="1:6" ht="21" customHeight="1">
      <c r="A26" s="16">
        <f>$B$8*1.2</f>
        <v>128536.22100000002</v>
      </c>
      <c r="B26" s="22">
        <f>IFERROR($B$5+A26/($B$6*1.2),"N/A")</f>
        <v>187.50000000000003</v>
      </c>
      <c r="C26" s="22">
        <f>IFERROR($B$5+A26/($B$6*1),"N/A")</f>
        <v>215.0</v>
      </c>
      <c r="D26" s="22">
        <f>IFERROR($B$5+A26/($B$6*0.8),"N/A")</f>
        <v>256.25</v>
      </c>
    </row>
    <row r="28" spans="1:6" ht="21" customHeight="1">
      <c r="A28" s="18" t="s">
        <v>123</v>
      </c>
      <c r="B28" s="18"/>
      <c r="C28" s="18"/>
      <c r="D28" s="18"/>
      <c r="E28" s="18"/>
      <c r="F28" s="18"/>
    </row>
    <row r="29" spans="1:6" ht="21" customHeight="1">
      <c r="A29" s="18"/>
      <c r="B29" s="18"/>
      <c r="C29" s="18"/>
      <c r="D29" s="18"/>
      <c r="E29" s="18"/>
      <c r="F29" s="18"/>
    </row>
  </sheetData>
  <mergeCells count="4">
    <mergeCell ref="C2:F4"/>
    <mergeCell ref="C7:F8"/>
    <mergeCell ref="A19:F20"/>
    <mergeCell ref="A28:F29"/>
  </mergeCells>
  <pageMargins left="0.7" right="0.7" top="0.75" bottom="0.75" header="0.3" footer="0.3"/>
  <pageSetup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P1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42578125" customWidth="1"/>
    <col min="2" max="2" width="44.42578125" customWidth="1"/>
    <col min="3" max="3" width="19.42578125" customWidth="1"/>
    <col min="4" max="16" width="15.7109375" customWidth="1"/>
  </cols>
  <sheetData>
    <row r="1" spans="1:16" ht="42" customHeight="1">
      <c r="A1" s="10" t="s">
        <v>124</v>
      </c>
      <c r="B1" s="10" t="s">
        <v>30</v>
      </c>
      <c r="C1" s="10" t="s">
        <v>16</v>
      </c>
      <c r="D1" s="10" t="s">
        <v>19</v>
      </c>
      <c r="E1" s="10" t="s">
        <v>125</v>
      </c>
      <c r="F1" s="10" t="s">
        <v>60</v>
      </c>
      <c r="G1" s="10" t="s">
        <v>61</v>
      </c>
      <c r="H1" s="10" t="s">
        <v>87</v>
      </c>
      <c r="I1" s="10" t="s">
        <v>18</v>
      </c>
      <c r="J1" s="10" t="s">
        <v>126</v>
      </c>
      <c r="K1" s="10" t="s">
        <v>127</v>
      </c>
      <c r="L1" s="10" t="s">
        <v>128</v>
      </c>
      <c r="M1" s="10" t="s">
        <v>129</v>
      </c>
      <c r="N1" s="10" t="s">
        <v>130</v>
      </c>
      <c r="O1" s="10" t="s">
        <v>91</v>
      </c>
      <c r="P1" s="10" t="s">
        <v>92</v>
      </c>
    </row>
    <row r="2" spans="1:16" ht="21" customHeight="1">
      <c r="A2" s="14" t="s">
        <v>11</v>
      </c>
      <c r="B2" s="14" t="s">
        <v>54</v>
      </c>
      <c r="C2" s="16">
        <v>16187.52</v>
      </c>
      <c r="D2" s="6">
        <v>44</v>
      </c>
      <c r="E2" s="6">
        <v>43</v>
      </c>
      <c r="F2" s="6">
        <v>3</v>
      </c>
      <c r="G2" s="6">
        <v>1</v>
      </c>
      <c r="H2" s="6">
        <v>0</v>
      </c>
      <c r="I2" s="14" t="s">
        <v>53</v>
      </c>
      <c r="J2" s="16">
        <v>367.8981818181819</v>
      </c>
      <c r="K2" s="15">
        <v>0</v>
      </c>
      <c r="L2" s="15">
        <v>0.06818181818181818</v>
      </c>
      <c r="M2" s="15">
        <v>0.3333333333333333</v>
      </c>
      <c r="N2" s="15">
        <v>0</v>
      </c>
      <c r="O2" s="15">
        <v>0.2627787419524871</v>
      </c>
      <c r="P2" s="15">
        <v>0</v>
      </c>
    </row>
    <row r="3" spans="1:16" ht="21" customHeight="1">
      <c r="A3" s="11" t="s">
        <v>11</v>
      </c>
      <c r="B3" s="11" t="s">
        <v>41</v>
      </c>
      <c r="C3" s="12">
        <v>22000.16</v>
      </c>
      <c r="D3" s="19">
        <v>176</v>
      </c>
      <c r="E3" s="19">
        <v>164</v>
      </c>
      <c r="F3" s="19">
        <v>15</v>
      </c>
      <c r="G3" s="19">
        <v>0</v>
      </c>
      <c r="H3" s="19">
        <v>0</v>
      </c>
      <c r="I3" s="11" t="s">
        <v>53</v>
      </c>
      <c r="J3" s="12">
        <v>125.0009090909091</v>
      </c>
      <c r="K3" s="13">
        <v>0</v>
      </c>
      <c r="L3" s="13">
        <v>0.08522727272727272</v>
      </c>
      <c r="M3" s="13">
        <v>0</v>
      </c>
      <c r="N3" s="11" t="s">
        <v>53</v>
      </c>
      <c r="O3" s="13">
        <v>0.3571377436168992</v>
      </c>
      <c r="P3" s="13">
        <v>0</v>
      </c>
    </row>
    <row r="4" spans="1:16" ht="21" customHeight="1">
      <c r="A4" s="14" t="s">
        <v>11</v>
      </c>
      <c r="B4" s="14" t="s">
        <v>37</v>
      </c>
      <c r="C4" s="16">
        <v>12607.29</v>
      </c>
      <c r="D4" s="6">
        <v>1421</v>
      </c>
      <c r="E4" s="6">
        <v>1310</v>
      </c>
      <c r="F4" s="6">
        <v>379</v>
      </c>
      <c r="G4" s="6">
        <v>26</v>
      </c>
      <c r="H4" s="6">
        <v>4</v>
      </c>
      <c r="I4" s="16">
        <v>3151.8225</v>
      </c>
      <c r="J4" s="16">
        <v>8.872125263898663</v>
      </c>
      <c r="K4" s="15">
        <v>0.002814919071076707</v>
      </c>
      <c r="L4" s="15">
        <v>0.2667135819845179</v>
      </c>
      <c r="M4" s="15">
        <v>0.06860158311345646</v>
      </c>
      <c r="N4" s="15">
        <v>0.1538461538461539</v>
      </c>
      <c r="O4" s="15">
        <v>0.2046593799192323</v>
      </c>
      <c r="P4" s="15">
        <v>0.4444444444444444</v>
      </c>
    </row>
    <row r="5" spans="1:16" ht="21" customHeight="1">
      <c r="A5" s="11" t="s">
        <v>11</v>
      </c>
      <c r="B5" s="11" t="s">
        <v>35</v>
      </c>
      <c r="C5" s="12">
        <v>10806.36</v>
      </c>
      <c r="D5" s="19">
        <v>324</v>
      </c>
      <c r="E5" s="19">
        <v>296</v>
      </c>
      <c r="F5" s="19">
        <v>99</v>
      </c>
      <c r="G5" s="19">
        <v>10</v>
      </c>
      <c r="H5" s="19">
        <v>5</v>
      </c>
      <c r="I5" s="12">
        <v>2161.272</v>
      </c>
      <c r="J5" s="12">
        <v>33.35296296296296</v>
      </c>
      <c r="K5" s="13">
        <v>0.0154320987654321</v>
      </c>
      <c r="L5" s="13">
        <v>0.3055555555555556</v>
      </c>
      <c r="M5" s="13">
        <v>0.101010101010101</v>
      </c>
      <c r="N5" s="13">
        <v>0.5</v>
      </c>
      <c r="O5" s="13">
        <v>0.1754241345113815</v>
      </c>
      <c r="P5" s="13">
        <v>0.5555555555555556</v>
      </c>
    </row>
    <row r="6" spans="1:16" ht="21" customHeight="1">
      <c r="A6" s="14" t="s">
        <v>12</v>
      </c>
      <c r="B6" s="14" t="s">
        <v>37</v>
      </c>
      <c r="C6" s="16">
        <v>22216.16</v>
      </c>
      <c r="D6" s="6">
        <v>6105</v>
      </c>
      <c r="E6" s="6">
        <v>5603</v>
      </c>
      <c r="F6" s="6">
        <v>1146</v>
      </c>
      <c r="G6" s="6">
        <v>86</v>
      </c>
      <c r="H6" s="6">
        <v>18</v>
      </c>
      <c r="I6" s="16">
        <v>1234.231111111111</v>
      </c>
      <c r="J6" s="16">
        <v>3.639010647010647</v>
      </c>
      <c r="K6" s="15">
        <v>0.002948402948402948</v>
      </c>
      <c r="L6" s="15">
        <v>0.1877149877149877</v>
      </c>
      <c r="M6" s="15">
        <v>0.07504363001745201</v>
      </c>
      <c r="N6" s="15">
        <v>0.2093023255813954</v>
      </c>
      <c r="O6" s="15">
        <v>0.2336897244267222</v>
      </c>
      <c r="P6" s="15">
        <v>0.2686567164179104</v>
      </c>
    </row>
    <row r="7" spans="1:16" ht="21" customHeight="1">
      <c r="A7" s="11" t="s">
        <v>12</v>
      </c>
      <c r="B7" s="11" t="s">
        <v>41</v>
      </c>
      <c r="C7" s="12">
        <v>24387.85</v>
      </c>
      <c r="D7" s="19">
        <v>5544</v>
      </c>
      <c r="E7" s="19">
        <v>5086</v>
      </c>
      <c r="F7" s="19">
        <v>999</v>
      </c>
      <c r="G7" s="19">
        <v>54</v>
      </c>
      <c r="H7" s="19">
        <v>13</v>
      </c>
      <c r="I7" s="12">
        <v>1875.988461538461</v>
      </c>
      <c r="J7" s="12">
        <v>4.398962842712843</v>
      </c>
      <c r="K7" s="13">
        <v>0.002344877344877345</v>
      </c>
      <c r="L7" s="13">
        <v>0.1801948051948052</v>
      </c>
      <c r="M7" s="13">
        <v>0.05405405405405406</v>
      </c>
      <c r="N7" s="13">
        <v>0.2407407407407407</v>
      </c>
      <c r="O7" s="13">
        <v>0.2565335299106702</v>
      </c>
      <c r="P7" s="13">
        <v>0.1940298507462687</v>
      </c>
    </row>
    <row r="8" spans="1:16" ht="21" customHeight="1">
      <c r="A8" s="14" t="s">
        <v>12</v>
      </c>
      <c r="B8" s="14" t="s">
        <v>39</v>
      </c>
      <c r="C8" s="16">
        <v>20054.15</v>
      </c>
      <c r="D8" s="6">
        <v>69</v>
      </c>
      <c r="E8" s="6">
        <v>67</v>
      </c>
      <c r="F8" s="6">
        <v>4</v>
      </c>
      <c r="G8" s="6">
        <v>0</v>
      </c>
      <c r="H8" s="6">
        <v>0</v>
      </c>
      <c r="I8" s="14" t="s">
        <v>53</v>
      </c>
      <c r="J8" s="16">
        <v>290.6398550724638</v>
      </c>
      <c r="K8" s="15">
        <v>0</v>
      </c>
      <c r="L8" s="15">
        <v>0.05797101449275362</v>
      </c>
      <c r="M8" s="15">
        <v>0</v>
      </c>
      <c r="N8" s="14" t="s">
        <v>53</v>
      </c>
      <c r="O8" s="15">
        <v>0.2109477419640546</v>
      </c>
      <c r="P8" s="15">
        <v>0</v>
      </c>
    </row>
    <row r="9" spans="1:16" ht="21" customHeight="1">
      <c r="A9" s="11" t="s">
        <v>12</v>
      </c>
      <c r="B9" s="11" t="s">
        <v>34</v>
      </c>
      <c r="C9" s="12">
        <v>18705.37</v>
      </c>
      <c r="D9" s="19">
        <v>6171</v>
      </c>
      <c r="E9" s="19">
        <v>5507</v>
      </c>
      <c r="F9" s="19">
        <v>1659</v>
      </c>
      <c r="G9" s="19">
        <v>112</v>
      </c>
      <c r="H9" s="19">
        <v>34</v>
      </c>
      <c r="I9" s="12">
        <v>550.1579411764706</v>
      </c>
      <c r="J9" s="12">
        <v>3.031173229622427</v>
      </c>
      <c r="K9" s="13">
        <v>0.005509641873278237</v>
      </c>
      <c r="L9" s="13">
        <v>0.2688381137578998</v>
      </c>
      <c r="M9" s="13">
        <v>0.06751054852320675</v>
      </c>
      <c r="N9" s="13">
        <v>0.3035714285714285</v>
      </c>
      <c r="O9" s="13">
        <v>0.196760050368735</v>
      </c>
      <c r="P9" s="13">
        <v>0.5074626865671642</v>
      </c>
    </row>
    <row r="10" spans="1:16" ht="21" customHeight="1">
      <c r="A10" s="14" t="s">
        <v>12</v>
      </c>
      <c r="B10" s="14" t="s">
        <v>40</v>
      </c>
      <c r="C10" s="16">
        <v>9703.379999999999</v>
      </c>
      <c r="D10" s="6">
        <v>1366</v>
      </c>
      <c r="E10" s="6">
        <v>1270</v>
      </c>
      <c r="F10" s="6">
        <v>199</v>
      </c>
      <c r="G10" s="6">
        <v>10</v>
      </c>
      <c r="H10" s="6">
        <v>2</v>
      </c>
      <c r="I10" s="16">
        <v>4851.69</v>
      </c>
      <c r="J10" s="16">
        <v>7.103499267935578</v>
      </c>
      <c r="K10" s="15">
        <v>0.001464128843338214</v>
      </c>
      <c r="L10" s="15">
        <v>0.1456808199121523</v>
      </c>
      <c r="M10" s="15">
        <v>0.05025125628140704</v>
      </c>
      <c r="N10" s="15">
        <v>0.2</v>
      </c>
      <c r="O10" s="15">
        <v>0.1020689533298179</v>
      </c>
      <c r="P10" s="15">
        <v>0.02985074626865672</v>
      </c>
    </row>
    <row r="11" spans="1:16" ht="21" customHeight="1">
      <c r="A11" s="11" t="s">
        <v>12</v>
      </c>
      <c r="B11" s="11" t="s">
        <v>35</v>
      </c>
      <c r="C11" s="12">
        <v>0</v>
      </c>
      <c r="D11" s="11" t="s">
        <v>53</v>
      </c>
      <c r="E11" s="11" t="s">
        <v>53</v>
      </c>
      <c r="F11" s="11" t="s">
        <v>53</v>
      </c>
      <c r="G11" s="11" t="s">
        <v>53</v>
      </c>
      <c r="H11" s="11" t="s">
        <v>53</v>
      </c>
      <c r="I11" s="11" t="s">
        <v>53</v>
      </c>
      <c r="J11" s="11" t="s">
        <v>53</v>
      </c>
      <c r="K11" s="11" t="s">
        <v>53</v>
      </c>
      <c r="L11" s="11" t="s">
        <v>53</v>
      </c>
      <c r="M11" s="11" t="s">
        <v>53</v>
      </c>
      <c r="N11" s="11" t="s">
        <v>53</v>
      </c>
      <c r="O11" s="13">
        <v>0</v>
      </c>
      <c r="P11" s="11" t="s">
        <v>53</v>
      </c>
    </row>
    <row r="12" spans="1:16" ht="21" customHeight="1">
      <c r="A12" s="14" t="s">
        <v>13</v>
      </c>
      <c r="B12" s="14" t="s">
        <v>37</v>
      </c>
      <c r="C12" s="16">
        <v>28491.25</v>
      </c>
      <c r="D12" s="6">
        <v>40757</v>
      </c>
      <c r="E12" s="6">
        <v>35889</v>
      </c>
      <c r="F12" s="6">
        <v>1165</v>
      </c>
      <c r="G12" s="6">
        <v>78</v>
      </c>
      <c r="H12" s="6">
        <v>27</v>
      </c>
      <c r="I12" s="16">
        <v>1055.231481481482</v>
      </c>
      <c r="J12" s="16">
        <v>0.6990516966410678</v>
      </c>
      <c r="K12" s="15">
        <v>0.0006624628898103393</v>
      </c>
      <c r="L12" s="15">
        <v>0.02858404691218686</v>
      </c>
      <c r="M12" s="15">
        <v>0.06695278969957082</v>
      </c>
      <c r="N12" s="15">
        <v>0.3461538461538461</v>
      </c>
      <c r="O12" s="15">
        <v>0.2391826842356228</v>
      </c>
      <c r="P12" s="15">
        <v>0.1436170212765958</v>
      </c>
    </row>
    <row r="13" spans="1:16" ht="21" customHeight="1">
      <c r="A13" s="11" t="s">
        <v>13</v>
      </c>
      <c r="B13" s="11" t="s">
        <v>35</v>
      </c>
      <c r="C13" s="12">
        <v>28485.14</v>
      </c>
      <c r="D13" s="19">
        <v>58564</v>
      </c>
      <c r="E13" s="19">
        <v>50691</v>
      </c>
      <c r="F13" s="19">
        <v>955</v>
      </c>
      <c r="G13" s="19">
        <v>71</v>
      </c>
      <c r="H13" s="19">
        <v>14</v>
      </c>
      <c r="I13" s="12">
        <v>2034.652857142857</v>
      </c>
      <c r="J13" s="12">
        <v>0.4863933474489447</v>
      </c>
      <c r="K13" s="13">
        <v>0.0002390547093777747</v>
      </c>
      <c r="L13" s="13">
        <v>0.01630694624684106</v>
      </c>
      <c r="M13" s="13">
        <v>0.0743455497382199</v>
      </c>
      <c r="N13" s="13">
        <v>0.1971830985915493</v>
      </c>
      <c r="O13" s="13">
        <v>0.2391313910771731</v>
      </c>
      <c r="P13" s="13">
        <v>0.07446808510638298</v>
      </c>
    </row>
    <row r="14" spans="1:16" ht="21" customHeight="1">
      <c r="A14" s="14" t="s">
        <v>13</v>
      </c>
      <c r="B14" s="14" t="s">
        <v>34</v>
      </c>
      <c r="C14" s="16">
        <v>28500.64</v>
      </c>
      <c r="D14" s="6">
        <v>17278</v>
      </c>
      <c r="E14" s="6">
        <v>15080</v>
      </c>
      <c r="F14" s="6">
        <v>3825</v>
      </c>
      <c r="G14" s="6">
        <v>396</v>
      </c>
      <c r="H14" s="6">
        <v>119</v>
      </c>
      <c r="I14" s="16">
        <v>239.5011764705882</v>
      </c>
      <c r="J14" s="16">
        <v>1.649533510823012</v>
      </c>
      <c r="K14" s="15">
        <v>0.006887371223521241</v>
      </c>
      <c r="L14" s="15">
        <v>0.2213797893274685</v>
      </c>
      <c r="M14" s="15">
        <v>0.1035294117647059</v>
      </c>
      <c r="N14" s="15">
        <v>0.3005050505050505</v>
      </c>
      <c r="O14" s="15">
        <v>0.239261512837561</v>
      </c>
      <c r="P14" s="15">
        <v>0.6329787234042553</v>
      </c>
    </row>
    <row r="15" spans="1:16" ht="21" customHeight="1">
      <c r="A15" s="11" t="s">
        <v>13</v>
      </c>
      <c r="B15" s="11" t="s">
        <v>41</v>
      </c>
      <c r="C15" s="12">
        <v>15200.15</v>
      </c>
      <c r="D15" s="19">
        <v>3140</v>
      </c>
      <c r="E15" s="19">
        <v>2816</v>
      </c>
      <c r="F15" s="19">
        <v>861</v>
      </c>
      <c r="G15" s="19">
        <v>42</v>
      </c>
      <c r="H15" s="19">
        <v>10</v>
      </c>
      <c r="I15" s="12">
        <v>1520.015</v>
      </c>
      <c r="J15" s="12">
        <v>4.840812101910828</v>
      </c>
      <c r="K15" s="13">
        <v>0.003184713375796179</v>
      </c>
      <c r="L15" s="13">
        <v>0.274203821656051</v>
      </c>
      <c r="M15" s="13">
        <v>0.04878048780487805</v>
      </c>
      <c r="N15" s="13">
        <v>0.2380952380952381</v>
      </c>
      <c r="O15" s="13">
        <v>0.127604533945829</v>
      </c>
      <c r="P15" s="13">
        <v>0.05319148936170213</v>
      </c>
    </row>
    <row r="16" spans="1:16" ht="21" customHeight="1">
      <c r="A16" s="14" t="s">
        <v>13</v>
      </c>
      <c r="B16" s="14" t="s">
        <v>36</v>
      </c>
      <c r="C16" s="16">
        <v>10347.32</v>
      </c>
      <c r="D16" s="6">
        <v>18614</v>
      </c>
      <c r="E16" s="6">
        <v>16656</v>
      </c>
      <c r="F16" s="6">
        <v>605</v>
      </c>
      <c r="G16" s="6">
        <v>46</v>
      </c>
      <c r="H16" s="6">
        <v>13</v>
      </c>
      <c r="I16" s="16">
        <v>795.9476923076923</v>
      </c>
      <c r="J16" s="16">
        <v>0.555889115719351</v>
      </c>
      <c r="K16" s="15">
        <v>0.0006983990544751263</v>
      </c>
      <c r="L16" s="15">
        <v>0.03250241753518857</v>
      </c>
      <c r="M16" s="15">
        <v>0.07603305785123966</v>
      </c>
      <c r="N16" s="15">
        <v>0.2826086956521739</v>
      </c>
      <c r="O16" s="15">
        <v>0.08686525765787548</v>
      </c>
      <c r="P16" s="15">
        <v>0.06914893617021277</v>
      </c>
    </row>
    <row r="17" spans="1:16" ht="21" customHeight="1">
      <c r="A17" s="11" t="s">
        <v>13</v>
      </c>
      <c r="B17" s="11" t="s">
        <v>38</v>
      </c>
      <c r="C17" s="12">
        <v>8094.7</v>
      </c>
      <c r="D17" s="19">
        <v>17246</v>
      </c>
      <c r="E17" s="19">
        <v>15193</v>
      </c>
      <c r="F17" s="19">
        <v>512</v>
      </c>
      <c r="G17" s="19">
        <v>26</v>
      </c>
      <c r="H17" s="19">
        <v>5</v>
      </c>
      <c r="I17" s="12">
        <v>1618.94</v>
      </c>
      <c r="J17" s="12">
        <v>0.4693668096950017</v>
      </c>
      <c r="K17" s="13">
        <v>0.0002899223008233794</v>
      </c>
      <c r="L17" s="13">
        <v>0.02968804360431404</v>
      </c>
      <c r="M17" s="13">
        <v>0.05078125</v>
      </c>
      <c r="N17" s="13">
        <v>0.1923076923076923</v>
      </c>
      <c r="O17" s="13">
        <v>0.06795462024593853</v>
      </c>
      <c r="P17" s="13">
        <v>0.02659574468085106</v>
      </c>
    </row>
  </sheetData>
  <autoFilter ref="A1:P17"/>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sheetPr>
    <pageSetUpPr fitToPage="1"/>
  </sheetPr>
  <dimension ref="A1:I1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4.42578125" customWidth="1"/>
    <col min="2" max="2" width="19.42578125" customWidth="1"/>
    <col min="3" max="7" width="15.7109375" customWidth="1"/>
    <col min="8" max="8" width="22.42578125" customWidth="1"/>
    <col min="9" max="9" width="36.42578125" customWidth="1"/>
  </cols>
  <sheetData>
    <row r="1" spans="1:9" ht="42" customHeight="1">
      <c r="A1" s="10" t="s">
        <v>30</v>
      </c>
      <c r="B1" s="10" t="s">
        <v>131</v>
      </c>
      <c r="C1" s="10" t="s">
        <v>132</v>
      </c>
      <c r="D1" s="10" t="s">
        <v>133</v>
      </c>
      <c r="E1" s="10" t="s">
        <v>31</v>
      </c>
      <c r="F1" s="10" t="s">
        <v>32</v>
      </c>
      <c r="G1" s="10" t="s">
        <v>134</v>
      </c>
      <c r="H1" s="10" t="s">
        <v>135</v>
      </c>
      <c r="I1" s="10" t="s">
        <v>136</v>
      </c>
    </row>
    <row r="2" spans="1:9" ht="21" customHeight="1">
      <c r="A2" s="14" t="s">
        <v>37</v>
      </c>
      <c r="B2" s="16">
        <v>22216.16</v>
      </c>
      <c r="C2" s="16">
        <v>28491.25</v>
      </c>
      <c r="D2" s="16">
        <v>6275.09</v>
      </c>
      <c r="E2" s="6">
        <v>18</v>
      </c>
      <c r="F2" s="6">
        <v>27</v>
      </c>
      <c r="G2" s="6">
        <v>9</v>
      </c>
      <c r="H2" s="15">
        <v>0.0743801652892562</v>
      </c>
      <c r="I2" s="14" t="s">
        <v>137</v>
      </c>
    </row>
    <row r="3" spans="1:9" ht="21" customHeight="1">
      <c r="A3" s="11" t="s">
        <v>36</v>
      </c>
      <c r="B3" s="12">
        <v>0</v>
      </c>
      <c r="C3" s="12">
        <v>10347.32</v>
      </c>
      <c r="D3" s="12">
        <v>10347.32</v>
      </c>
      <c r="E3" s="19">
        <v>0</v>
      </c>
      <c r="F3" s="19">
        <v>13</v>
      </c>
      <c r="G3" s="19">
        <v>13</v>
      </c>
      <c r="H3" s="13">
        <v>0.1074380165289256</v>
      </c>
      <c r="I3" s="11" t="s">
        <v>138</v>
      </c>
    </row>
    <row r="4" spans="1:9" ht="21" customHeight="1">
      <c r="A4" s="14" t="s">
        <v>35</v>
      </c>
      <c r="B4" s="16">
        <v>0</v>
      </c>
      <c r="C4" s="16">
        <v>28485.14</v>
      </c>
      <c r="D4" s="16">
        <v>28485.14</v>
      </c>
      <c r="E4" s="6">
        <v>0</v>
      </c>
      <c r="F4" s="6">
        <v>14</v>
      </c>
      <c r="G4" s="6">
        <v>14</v>
      </c>
      <c r="H4" s="15">
        <v>0.115702479338843</v>
      </c>
      <c r="I4" s="14" t="s">
        <v>138</v>
      </c>
    </row>
    <row r="5" spans="1:9" ht="21" customHeight="1">
      <c r="A5" s="11" t="s">
        <v>38</v>
      </c>
      <c r="B5" s="12">
        <v>0</v>
      </c>
      <c r="C5" s="12">
        <v>8094.7</v>
      </c>
      <c r="D5" s="12">
        <v>8094.7</v>
      </c>
      <c r="E5" s="19">
        <v>0</v>
      </c>
      <c r="F5" s="19">
        <v>5</v>
      </c>
      <c r="G5" s="19">
        <v>5</v>
      </c>
      <c r="H5" s="13">
        <v>0.04132231404958678</v>
      </c>
      <c r="I5" s="11" t="s">
        <v>138</v>
      </c>
    </row>
    <row r="6" spans="1:9" ht="21" customHeight="1">
      <c r="A6" s="14" t="s">
        <v>34</v>
      </c>
      <c r="B6" s="16">
        <v>18705.37</v>
      </c>
      <c r="C6" s="16">
        <v>28500.64</v>
      </c>
      <c r="D6" s="16">
        <v>9795.27</v>
      </c>
      <c r="E6" s="6">
        <v>34</v>
      </c>
      <c r="F6" s="6">
        <v>119</v>
      </c>
      <c r="G6" s="6">
        <v>85</v>
      </c>
      <c r="H6" s="15">
        <v>0.7024793388429752</v>
      </c>
      <c r="I6" s="14" t="s">
        <v>137</v>
      </c>
    </row>
    <row r="7" spans="1:9" ht="21" customHeight="1">
      <c r="A7" s="11" t="s">
        <v>40</v>
      </c>
      <c r="B7" s="12">
        <v>9703.379999999999</v>
      </c>
      <c r="C7" s="12">
        <v>0</v>
      </c>
      <c r="D7" s="12">
        <v>-9703.379999999999</v>
      </c>
      <c r="E7" s="19">
        <v>2</v>
      </c>
      <c r="F7" s="19">
        <v>0</v>
      </c>
      <c r="G7" s="19">
        <v>-2</v>
      </c>
      <c r="H7" s="13">
        <v>-0.01652892561983471</v>
      </c>
      <c r="I7" s="11" t="s">
        <v>139</v>
      </c>
    </row>
    <row r="8" spans="1:9" ht="21" customHeight="1">
      <c r="A8" s="14" t="s">
        <v>41</v>
      </c>
      <c r="B8" s="16">
        <v>24387.85</v>
      </c>
      <c r="C8" s="16">
        <v>15200.15</v>
      </c>
      <c r="D8" s="16">
        <v>-9187.699999999999</v>
      </c>
      <c r="E8" s="6">
        <v>13</v>
      </c>
      <c r="F8" s="6">
        <v>10</v>
      </c>
      <c r="G8" s="6">
        <v>-3</v>
      </c>
      <c r="H8" s="15">
        <v>-0.02479338842975207</v>
      </c>
      <c r="I8" s="14" t="s">
        <v>137</v>
      </c>
    </row>
    <row r="9" spans="1:9" ht="21" customHeight="1">
      <c r="A9" s="11" t="s">
        <v>39</v>
      </c>
      <c r="B9" s="12">
        <v>20054.15</v>
      </c>
      <c r="C9" s="12">
        <v>0</v>
      </c>
      <c r="D9" s="12">
        <v>-20054.15</v>
      </c>
      <c r="E9" s="19">
        <v>0</v>
      </c>
      <c r="F9" s="19">
        <v>0</v>
      </c>
      <c r="G9" s="19">
        <v>0</v>
      </c>
      <c r="H9" s="13">
        <v>0</v>
      </c>
      <c r="I9" s="11" t="s">
        <v>139</v>
      </c>
    </row>
    <row r="12" spans="1:9" ht="21" customHeight="1">
      <c r="A12" s="18" t="s">
        <v>140</v>
      </c>
      <c r="B12" s="18"/>
      <c r="C12" s="18"/>
      <c r="D12" s="18"/>
      <c r="E12" s="18"/>
      <c r="F12" s="18"/>
      <c r="G12" s="18"/>
      <c r="H12" s="18"/>
      <c r="I12" s="18"/>
    </row>
    <row r="13" spans="1:9" ht="21" customHeight="1">
      <c r="A13" s="18"/>
      <c r="B13" s="18"/>
      <c r="C13" s="18"/>
      <c r="D13" s="18"/>
      <c r="E13" s="18"/>
      <c r="F13" s="18"/>
      <c r="G13" s="18"/>
      <c r="H13" s="18"/>
      <c r="I13" s="18"/>
    </row>
  </sheetData>
  <mergeCells count="1">
    <mergeCell ref="A12:I13"/>
  </mergeCells>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sheetPr>
    <pageSetUpPr fitToPage="1"/>
  </sheetPr>
  <dimension ref="A1:D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3.42578125" customWidth="1"/>
    <col min="2" max="2" width="32.42578125" customWidth="1"/>
    <col min="3" max="3" width="91.42578125" customWidth="1"/>
    <col min="4" max="4" width="76.42578125" customWidth="1"/>
  </cols>
  <sheetData>
    <row r="1" spans="1:4" ht="42" customHeight="1">
      <c r="A1" s="10" t="s">
        <v>141</v>
      </c>
      <c r="B1" s="10" t="s">
        <v>142</v>
      </c>
      <c r="C1" s="10" t="s">
        <v>143</v>
      </c>
      <c r="D1" s="10" t="s">
        <v>144</v>
      </c>
    </row>
    <row r="2" spans="1:4" ht="60" customHeight="1">
      <c r="A2" s="14" t="s">
        <v>145</v>
      </c>
      <c r="B2" s="14" t="s">
        <v>146</v>
      </c>
      <c r="C2" s="14" t="s">
        <v>147</v>
      </c>
      <c r="D2" s="14" t="s">
        <v>148</v>
      </c>
    </row>
    <row r="3" spans="1:4" ht="60" customHeight="1">
      <c r="A3" s="11" t="s">
        <v>149</v>
      </c>
      <c r="B3" s="11" t="s">
        <v>150</v>
      </c>
      <c r="C3" s="11" t="s">
        <v>151</v>
      </c>
      <c r="D3" s="11" t="s">
        <v>152</v>
      </c>
    </row>
    <row r="4" spans="1:4" ht="60" customHeight="1">
      <c r="A4" s="14" t="s">
        <v>153</v>
      </c>
      <c r="B4" s="14" t="s">
        <v>154</v>
      </c>
      <c r="C4" s="14" t="s">
        <v>155</v>
      </c>
      <c r="D4" s="14" t="s">
        <v>156</v>
      </c>
    </row>
    <row r="5" spans="1:4" ht="60" customHeight="1">
      <c r="A5" s="11" t="s">
        <v>157</v>
      </c>
      <c r="B5" s="11" t="s">
        <v>158</v>
      </c>
      <c r="C5" s="11" t="s">
        <v>159</v>
      </c>
      <c r="D5" s="11" t="s">
        <v>160</v>
      </c>
    </row>
    <row r="6" spans="1:4" ht="60" customHeight="1">
      <c r="A6" s="14" t="s">
        <v>161</v>
      </c>
      <c r="B6" s="14" t="s">
        <v>162</v>
      </c>
      <c r="C6" s="14" t="s">
        <v>163</v>
      </c>
      <c r="D6" s="14" t="s">
        <v>164</v>
      </c>
    </row>
  </sheetData>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sheetPr>
    <pageSetUpPr fitToPage="1"/>
  </sheetPr>
  <dimension ref="A1:D1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7.42578125" customWidth="1"/>
    <col min="2" max="2" width="37.42578125" customWidth="1"/>
    <col min="3" max="3" width="19.42578125" customWidth="1"/>
    <col min="4" max="4" width="111.42578125" customWidth="1"/>
  </cols>
  <sheetData>
    <row r="1" spans="1:4" ht="42" customHeight="1">
      <c r="A1" s="10" t="s">
        <v>165</v>
      </c>
      <c r="B1" s="10" t="s">
        <v>166</v>
      </c>
      <c r="C1" s="10" t="s">
        <v>167</v>
      </c>
      <c r="D1" s="10" t="s">
        <v>168</v>
      </c>
    </row>
    <row r="2" spans="1:4" ht="32" customHeight="1">
      <c r="A2" s="14" t="s">
        <v>11</v>
      </c>
      <c r="B2" s="14" t="s">
        <v>169</v>
      </c>
      <c r="C2" s="14" t="s">
        <v>170</v>
      </c>
      <c r="D2" s="14" t="s">
        <v>171</v>
      </c>
    </row>
    <row r="3" spans="1:4" ht="32" customHeight="1">
      <c r="A3" s="11" t="s">
        <v>11</v>
      </c>
      <c r="B3" s="11" t="s">
        <v>172</v>
      </c>
      <c r="C3" s="11" t="s">
        <v>170</v>
      </c>
      <c r="D3" s="11" t="s">
        <v>173</v>
      </c>
    </row>
    <row r="4" spans="1:4" ht="32" customHeight="1">
      <c r="A4" s="14" t="s">
        <v>12</v>
      </c>
      <c r="B4" s="14" t="s">
        <v>169</v>
      </c>
      <c r="C4" s="14" t="s">
        <v>170</v>
      </c>
      <c r="D4" s="14" t="s">
        <v>174</v>
      </c>
    </row>
    <row r="5" spans="1:4" ht="32" customHeight="1">
      <c r="A5" s="11" t="s">
        <v>12</v>
      </c>
      <c r="B5" s="11" t="s">
        <v>172</v>
      </c>
      <c r="C5" s="11" t="s">
        <v>175</v>
      </c>
      <c r="D5" s="11" t="s">
        <v>176</v>
      </c>
    </row>
    <row r="6" spans="1:4" ht="32" customHeight="1">
      <c r="A6" s="14" t="s">
        <v>13</v>
      </c>
      <c r="B6" s="14" t="s">
        <v>169</v>
      </c>
      <c r="C6" s="14" t="s">
        <v>170</v>
      </c>
      <c r="D6" s="14" t="s">
        <v>174</v>
      </c>
    </row>
    <row r="7" spans="1:4" ht="32" customHeight="1">
      <c r="A7" s="11" t="s">
        <v>13</v>
      </c>
      <c r="B7" s="11" t="s">
        <v>172</v>
      </c>
      <c r="C7" s="11" t="s">
        <v>170</v>
      </c>
      <c r="D7" s="11" t="s">
        <v>177</v>
      </c>
    </row>
    <row r="10" spans="1:4" ht="35" customHeight="1">
      <c r="A10" s="14" t="s">
        <v>12</v>
      </c>
      <c r="B10" s="14" t="s">
        <v>178</v>
      </c>
      <c r="C10" s="14" t="s">
        <v>179</v>
      </c>
      <c r="D10" s="14" t="s">
        <v>180</v>
      </c>
    </row>
    <row r="11" spans="1:4" ht="35" customHeight="1">
      <c r="A11" s="11" t="s">
        <v>13</v>
      </c>
      <c r="B11" s="11" t="s">
        <v>181</v>
      </c>
      <c r="C11" s="11" t="s">
        <v>179</v>
      </c>
      <c r="D11" s="11" t="s">
        <v>182</v>
      </c>
    </row>
    <row r="12" spans="1:4" ht="35" customHeight="1">
      <c r="A12" s="14" t="s">
        <v>13</v>
      </c>
      <c r="B12" s="14" t="s">
        <v>183</v>
      </c>
      <c r="C12" s="14" t="s">
        <v>179</v>
      </c>
      <c r="D12" s="14" t="s">
        <v>184</v>
      </c>
    </row>
    <row r="15" spans="1:4" ht="40" customHeight="1">
      <c r="A15" s="11" t="s">
        <v>185</v>
      </c>
      <c r="B15" s="11" t="s">
        <v>186</v>
      </c>
      <c r="C15" s="11" t="s">
        <v>187</v>
      </c>
      <c r="D15" s="11" t="s">
        <v>188</v>
      </c>
    </row>
  </sheetData>
  <pageMargins left="0.7" right="0.7" top="0.75" bottom="0.75" header="0.3" footer="0.3"/>
  <pageSetup fitToHeight="0" orientation="landscape"/>
</worksheet>
</file>

<file path=xl/worksheets/sheet14.xml><?xml version="1.0" encoding="utf-8"?>
<worksheet xmlns="http://schemas.openxmlformats.org/spreadsheetml/2006/main" xmlns:r="http://schemas.openxmlformats.org/officeDocument/2006/relationships">
  <sheetPr>
    <pageSetUpPr fitToPage="1"/>
  </sheetPr>
  <dimension ref="A1:F20"/>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1.42578125" customWidth="1"/>
    <col min="2" max="2" width="146.42578125" customWidth="1"/>
  </cols>
  <sheetData>
    <row r="1" spans="1:2" ht="42" customHeight="1">
      <c r="A1" s="10" t="s">
        <v>189</v>
      </c>
      <c r="B1" s="10" t="s">
        <v>190</v>
      </c>
    </row>
    <row r="2" spans="1:2" ht="42" customHeight="1">
      <c r="A2" s="14">
        <v>1</v>
      </c>
      <c r="B2" s="14" t="s">
        <v>191</v>
      </c>
    </row>
    <row r="3" spans="1:2" ht="42" customHeight="1">
      <c r="A3" s="11">
        <v>2</v>
      </c>
      <c r="B3" s="11" t="s">
        <v>192</v>
      </c>
    </row>
    <row r="4" spans="1:2" ht="42" customHeight="1">
      <c r="A4" s="14">
        <v>3</v>
      </c>
      <c r="B4" s="14" t="s">
        <v>193</v>
      </c>
    </row>
    <row r="5" spans="1:2" ht="42" customHeight="1">
      <c r="A5" s="11">
        <v>4</v>
      </c>
      <c r="B5" s="11" t="s">
        <v>194</v>
      </c>
    </row>
    <row r="6" spans="1:2" ht="42" customHeight="1">
      <c r="A6" s="14">
        <v>5</v>
      </c>
      <c r="B6" s="14" t="s">
        <v>195</v>
      </c>
    </row>
    <row r="7" spans="1:2" ht="42" customHeight="1">
      <c r="A7" s="11">
        <v>6</v>
      </c>
      <c r="B7" s="11" t="s">
        <v>196</v>
      </c>
    </row>
    <row r="8" spans="1:2" ht="42" customHeight="1">
      <c r="A8" s="14">
        <v>7</v>
      </c>
      <c r="B8" s="14" t="s">
        <v>197</v>
      </c>
    </row>
    <row r="9" spans="1:2" ht="42" customHeight="1">
      <c r="A9" s="11">
        <v>8</v>
      </c>
      <c r="B9" s="11" t="s">
        <v>198</v>
      </c>
    </row>
    <row r="10" spans="1:2" ht="42" customHeight="1">
      <c r="A10" s="14">
        <v>9</v>
      </c>
      <c r="B10" s="14" t="s">
        <v>199</v>
      </c>
    </row>
    <row r="11" spans="1:2" ht="42" customHeight="1">
      <c r="A11" s="11">
        <v>10</v>
      </c>
      <c r="B11" s="11" t="s">
        <v>200</v>
      </c>
    </row>
    <row r="12" spans="1:2" ht="42" customHeight="1">
      <c r="A12" s="14">
        <v>11</v>
      </c>
      <c r="B12" s="14" t="s">
        <v>201</v>
      </c>
    </row>
    <row r="13" spans="1:2" ht="42" customHeight="1">
      <c r="A13" s="11">
        <v>12</v>
      </c>
      <c r="B13" s="11" t="s">
        <v>202</v>
      </c>
    </row>
    <row r="14" spans="1:2" ht="55" customHeight="1">
      <c r="A14" s="14">
        <v>13</v>
      </c>
      <c r="B14" s="14" t="s">
        <v>203</v>
      </c>
    </row>
    <row r="18" spans="1:6">
      <c r="A18" s="4" t="s">
        <v>652</v>
      </c>
      <c r="B18" s="18" t="s">
        <v>653</v>
      </c>
      <c r="C18" s="18"/>
      <c r="D18" s="18"/>
      <c r="E18" s="18"/>
      <c r="F18" s="18"/>
    </row>
    <row r="19" spans="1:6">
      <c r="B19" s="18"/>
      <c r="C19" s="18"/>
      <c r="D19" s="18"/>
      <c r="E19" s="18"/>
      <c r="F19" s="18"/>
    </row>
    <row r="20" spans="1:6">
      <c r="B20" s="18"/>
      <c r="C20" s="18"/>
      <c r="D20" s="18"/>
      <c r="E20" s="18"/>
      <c r="F20" s="18"/>
    </row>
  </sheetData>
  <mergeCells count="1">
    <mergeCell ref="B18:F20"/>
  </mergeCells>
  <pageMargins left="0.7" right="0.7" top="0.75" bottom="0.75" header="0.3" footer="0.3"/>
  <pageSetup fitToHeight="0" orientation="landscape"/>
</worksheet>
</file>

<file path=xl/worksheets/sheet15.xml><?xml version="1.0" encoding="utf-8"?>
<worksheet xmlns="http://schemas.openxmlformats.org/spreadsheetml/2006/main" xmlns:r="http://schemas.openxmlformats.org/officeDocument/2006/relationships">
  <sheetPr>
    <pageSetUpPr fitToPage="1"/>
  </sheetPr>
  <dimension ref="A1:M5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3.42578125" customWidth="1"/>
    <col min="2" max="13" width="15.7109375" customWidth="1"/>
  </cols>
  <sheetData>
    <row r="1" spans="1:12" ht="21" customHeight="1">
      <c r="A1" s="10" t="s">
        <v>204</v>
      </c>
    </row>
    <row r="2" spans="1:12" ht="21" customHeight="1">
      <c r="A2" s="14" t="s">
        <v>30</v>
      </c>
      <c r="C2" s="14" t="s">
        <v>205</v>
      </c>
      <c r="D2" s="14" t="s">
        <v>19</v>
      </c>
      <c r="F2" s="14" t="s">
        <v>206</v>
      </c>
      <c r="G2" s="14" t="s">
        <v>60</v>
      </c>
      <c r="H2" s="14" t="s">
        <v>61</v>
      </c>
      <c r="I2" s="14" t="s">
        <v>207</v>
      </c>
      <c r="K2" s="14" t="s">
        <v>208</v>
      </c>
      <c r="L2" s="14" t="s">
        <v>209</v>
      </c>
    </row>
    <row r="3" spans="1:12" ht="21" customHeight="1">
      <c r="A3" s="11" t="s">
        <v>54</v>
      </c>
      <c r="C3" s="11" t="s">
        <v>210</v>
      </c>
      <c r="D3" s="11" t="s">
        <v>211</v>
      </c>
      <c r="F3" s="11" t="s">
        <v>212</v>
      </c>
      <c r="G3" s="11" t="s">
        <v>153</v>
      </c>
      <c r="H3" s="11" t="s">
        <v>145</v>
      </c>
      <c r="I3" s="11" t="s">
        <v>213</v>
      </c>
      <c r="K3" s="11" t="s">
        <v>214</v>
      </c>
    </row>
    <row r="4" spans="1:12" ht="21" customHeight="1">
      <c r="A4" s="14" t="s">
        <v>41</v>
      </c>
      <c r="C4" s="14" t="s">
        <v>215</v>
      </c>
      <c r="D4" s="14" t="s">
        <v>216</v>
      </c>
      <c r="F4" s="14" t="s">
        <v>217</v>
      </c>
      <c r="G4" s="14" t="s">
        <v>218</v>
      </c>
      <c r="H4" s="14" t="s">
        <v>213</v>
      </c>
      <c r="I4" s="14" t="s">
        <v>213</v>
      </c>
      <c r="K4" s="14" t="s">
        <v>214</v>
      </c>
    </row>
    <row r="5" spans="1:12" ht="21" customHeight="1">
      <c r="A5" s="11" t="s">
        <v>37</v>
      </c>
      <c r="C5" s="11" t="s">
        <v>219</v>
      </c>
      <c r="D5" s="11" t="s">
        <v>220</v>
      </c>
      <c r="F5" s="11" t="s">
        <v>221</v>
      </c>
      <c r="G5" s="11" t="s">
        <v>222</v>
      </c>
      <c r="H5" s="11" t="s">
        <v>223</v>
      </c>
      <c r="I5" s="11" t="s">
        <v>157</v>
      </c>
      <c r="K5" s="11" t="s">
        <v>224</v>
      </c>
    </row>
    <row r="6" spans="1:12" ht="21" customHeight="1">
      <c r="A6" s="14" t="s">
        <v>35</v>
      </c>
      <c r="C6" s="14" t="s">
        <v>225</v>
      </c>
      <c r="D6" s="14" t="s">
        <v>226</v>
      </c>
      <c r="F6" s="14" t="s">
        <v>227</v>
      </c>
      <c r="G6" s="14" t="s">
        <v>228</v>
      </c>
      <c r="H6" s="14" t="s">
        <v>229</v>
      </c>
      <c r="I6" s="14" t="s">
        <v>161</v>
      </c>
      <c r="K6" s="14" t="s">
        <v>230</v>
      </c>
    </row>
    <row r="7" spans="1:12" ht="21" customHeight="1">
      <c r="A7" s="11" t="s">
        <v>231</v>
      </c>
      <c r="C7" s="11" t="s">
        <v>232</v>
      </c>
    </row>
    <row r="9" spans="1:12" ht="21" customHeight="1">
      <c r="A9" s="11" t="s">
        <v>233</v>
      </c>
    </row>
    <row r="10" spans="1:12" ht="21" customHeight="1">
      <c r="A10" s="14" t="s">
        <v>30</v>
      </c>
      <c r="B10" s="14" t="s">
        <v>234</v>
      </c>
      <c r="C10" s="14" t="s">
        <v>205</v>
      </c>
      <c r="D10" s="14" t="s">
        <v>19</v>
      </c>
      <c r="E10" s="14" t="s">
        <v>235</v>
      </c>
      <c r="F10" s="14" t="s">
        <v>206</v>
      </c>
      <c r="G10" s="14" t="s">
        <v>60</v>
      </c>
      <c r="H10" s="14" t="s">
        <v>61</v>
      </c>
      <c r="I10" s="14" t="s">
        <v>207</v>
      </c>
      <c r="J10" s="14" t="s">
        <v>235</v>
      </c>
      <c r="K10" s="14" t="s">
        <v>208</v>
      </c>
      <c r="L10" s="14" t="s">
        <v>209</v>
      </c>
    </row>
    <row r="11" spans="1:12" ht="21" customHeight="1">
      <c r="A11" s="11" t="s">
        <v>37</v>
      </c>
      <c r="B11" s="11" t="s">
        <v>236</v>
      </c>
      <c r="C11" s="11" t="s">
        <v>237</v>
      </c>
      <c r="D11" s="11" t="s">
        <v>238</v>
      </c>
      <c r="E11" s="11" t="s">
        <v>239</v>
      </c>
      <c r="F11" s="11" t="s">
        <v>240</v>
      </c>
      <c r="G11" s="11" t="s">
        <v>241</v>
      </c>
      <c r="H11" s="11" t="s">
        <v>242</v>
      </c>
      <c r="I11" s="11" t="s">
        <v>243</v>
      </c>
      <c r="J11" s="11" t="s">
        <v>244</v>
      </c>
      <c r="K11" s="11" t="s">
        <v>245</v>
      </c>
      <c r="L11" s="11" t="s">
        <v>246</v>
      </c>
    </row>
    <row r="12" spans="1:12" ht="21" customHeight="1">
      <c r="A12" s="14" t="s">
        <v>41</v>
      </c>
      <c r="B12" s="14" t="s">
        <v>247</v>
      </c>
      <c r="C12" s="14" t="s">
        <v>248</v>
      </c>
      <c r="D12" s="14" t="s">
        <v>249</v>
      </c>
      <c r="E12" s="14" t="s">
        <v>250</v>
      </c>
      <c r="F12" s="14" t="s">
        <v>251</v>
      </c>
      <c r="G12" s="14" t="s">
        <v>252</v>
      </c>
      <c r="H12" s="14" t="s">
        <v>253</v>
      </c>
      <c r="I12" s="14" t="s">
        <v>254</v>
      </c>
      <c r="J12" s="14" t="s">
        <v>255</v>
      </c>
      <c r="K12" s="14" t="s">
        <v>256</v>
      </c>
      <c r="L12" s="14" t="s">
        <v>257</v>
      </c>
    </row>
    <row r="13" spans="1:12" ht="21" customHeight="1">
      <c r="A13" s="11" t="s">
        <v>39</v>
      </c>
      <c r="B13" s="11" t="s">
        <v>247</v>
      </c>
      <c r="C13" s="11" t="s">
        <v>258</v>
      </c>
      <c r="D13" s="11" t="s">
        <v>259</v>
      </c>
      <c r="F13" s="11" t="s">
        <v>260</v>
      </c>
      <c r="G13" s="11" t="s">
        <v>157</v>
      </c>
      <c r="H13" s="11" t="s">
        <v>213</v>
      </c>
      <c r="I13" s="11" t="s">
        <v>213</v>
      </c>
      <c r="K13" s="11" t="s">
        <v>214</v>
      </c>
      <c r="L13" s="11" t="s">
        <v>257</v>
      </c>
    </row>
    <row r="14" spans="1:12" ht="21" customHeight="1">
      <c r="A14" s="14" t="s">
        <v>34</v>
      </c>
      <c r="B14" s="14" t="s">
        <v>236</v>
      </c>
      <c r="C14" s="14" t="s">
        <v>261</v>
      </c>
      <c r="D14" s="14" t="s">
        <v>262</v>
      </c>
      <c r="F14" s="14" t="s">
        <v>263</v>
      </c>
      <c r="G14" s="14" t="s">
        <v>264</v>
      </c>
      <c r="H14" s="14" t="s">
        <v>265</v>
      </c>
      <c r="I14" s="14" t="s">
        <v>266</v>
      </c>
      <c r="K14" s="14" t="s">
        <v>267</v>
      </c>
      <c r="L14" s="14" t="s">
        <v>246</v>
      </c>
    </row>
    <row r="15" spans="1:12" ht="21" customHeight="1">
      <c r="A15" s="11" t="s">
        <v>40</v>
      </c>
      <c r="B15" s="11" t="s">
        <v>268</v>
      </c>
      <c r="C15" s="11" t="s">
        <v>269</v>
      </c>
      <c r="D15" s="11" t="s">
        <v>270</v>
      </c>
      <c r="F15" s="11" t="s">
        <v>271</v>
      </c>
      <c r="G15" s="11" t="s">
        <v>272</v>
      </c>
      <c r="H15" s="11" t="s">
        <v>229</v>
      </c>
      <c r="I15" s="11" t="s">
        <v>149</v>
      </c>
      <c r="K15" s="11" t="s">
        <v>273</v>
      </c>
      <c r="L15" s="11" t="s">
        <v>274</v>
      </c>
    </row>
    <row r="16" spans="1:12" ht="21" customHeight="1">
      <c r="A16" s="14" t="s">
        <v>35</v>
      </c>
      <c r="B16" s="14" t="s">
        <v>268</v>
      </c>
      <c r="C16" s="14" t="s">
        <v>268</v>
      </c>
      <c r="D16" s="14" t="s">
        <v>214</v>
      </c>
      <c r="F16" s="14" t="s">
        <v>214</v>
      </c>
      <c r="G16" s="14" t="s">
        <v>214</v>
      </c>
      <c r="H16" s="14" t="s">
        <v>214</v>
      </c>
      <c r="I16" s="14" t="s">
        <v>214</v>
      </c>
      <c r="K16" s="14" t="s">
        <v>214</v>
      </c>
      <c r="L16" s="14" t="s">
        <v>213</v>
      </c>
    </row>
    <row r="17" spans="1:13" ht="21" customHeight="1">
      <c r="A17" s="11" t="s">
        <v>231</v>
      </c>
      <c r="C17" s="11" t="s">
        <v>275</v>
      </c>
    </row>
    <row r="19" spans="1:13" ht="21" customHeight="1">
      <c r="A19" s="11" t="s">
        <v>13</v>
      </c>
    </row>
    <row r="20" spans="1:13" ht="21" customHeight="1">
      <c r="A20" s="14" t="s">
        <v>30</v>
      </c>
      <c r="B20" s="14" t="s">
        <v>234</v>
      </c>
      <c r="C20" s="14" t="s">
        <v>205</v>
      </c>
      <c r="D20" s="14" t="s">
        <v>19</v>
      </c>
      <c r="E20" s="14" t="s">
        <v>235</v>
      </c>
      <c r="F20" s="14" t="s">
        <v>206</v>
      </c>
      <c r="G20" s="14" t="s">
        <v>60</v>
      </c>
      <c r="H20" s="14" t="s">
        <v>61</v>
      </c>
      <c r="I20" s="14" t="s">
        <v>207</v>
      </c>
      <c r="J20" s="14" t="s">
        <v>235</v>
      </c>
      <c r="K20" s="14" t="s">
        <v>208</v>
      </c>
      <c r="L20" s="14" t="s">
        <v>209</v>
      </c>
      <c r="M20" s="14" t="s">
        <v>276</v>
      </c>
    </row>
    <row r="21" spans="1:13" ht="21" customHeight="1">
      <c r="A21" s="11" t="s">
        <v>37</v>
      </c>
      <c r="C21" s="11" t="s">
        <v>277</v>
      </c>
      <c r="D21" s="11" t="s">
        <v>278</v>
      </c>
      <c r="E21" s="11" t="s">
        <v>279</v>
      </c>
      <c r="F21" s="11" t="s">
        <v>280</v>
      </c>
      <c r="G21" s="11" t="s">
        <v>281</v>
      </c>
      <c r="H21" s="11" t="s">
        <v>282</v>
      </c>
      <c r="I21" s="11" t="s">
        <v>283</v>
      </c>
      <c r="J21" s="11" t="s">
        <v>284</v>
      </c>
      <c r="K21" s="11" t="s">
        <v>285</v>
      </c>
      <c r="L21" s="11" t="s">
        <v>274</v>
      </c>
      <c r="M21" s="11" t="s">
        <v>286</v>
      </c>
    </row>
    <row r="22" spans="1:13" ht="21" customHeight="1">
      <c r="A22" s="14" t="s">
        <v>35</v>
      </c>
      <c r="C22" s="14" t="s">
        <v>287</v>
      </c>
      <c r="D22" s="14" t="s">
        <v>288</v>
      </c>
      <c r="F22" s="14" t="s">
        <v>289</v>
      </c>
      <c r="G22" s="14" t="s">
        <v>290</v>
      </c>
      <c r="H22" s="14" t="s">
        <v>291</v>
      </c>
      <c r="I22" s="14" t="s">
        <v>292</v>
      </c>
      <c r="K22" s="14" t="s">
        <v>293</v>
      </c>
      <c r="L22" s="14" t="s">
        <v>274</v>
      </c>
      <c r="M22" s="14" t="s">
        <v>294</v>
      </c>
    </row>
    <row r="23" spans="1:13" ht="21" customHeight="1">
      <c r="A23" s="11" t="s">
        <v>34</v>
      </c>
      <c r="C23" s="11" t="s">
        <v>295</v>
      </c>
      <c r="D23" s="11" t="s">
        <v>296</v>
      </c>
      <c r="E23" s="11" t="s">
        <v>297</v>
      </c>
      <c r="F23" s="11" t="s">
        <v>298</v>
      </c>
      <c r="G23" s="11" t="s">
        <v>299</v>
      </c>
      <c r="H23" s="11" t="s">
        <v>300</v>
      </c>
      <c r="I23" s="11" t="s">
        <v>301</v>
      </c>
      <c r="J23" s="11" t="s">
        <v>302</v>
      </c>
      <c r="K23" s="11" t="s">
        <v>303</v>
      </c>
      <c r="L23" s="11" t="s">
        <v>274</v>
      </c>
      <c r="M23" s="11" t="s">
        <v>304</v>
      </c>
    </row>
    <row r="24" spans="1:13" ht="21" customHeight="1">
      <c r="A24" s="14" t="s">
        <v>41</v>
      </c>
      <c r="C24" s="14" t="s">
        <v>305</v>
      </c>
      <c r="D24" s="14" t="s">
        <v>306</v>
      </c>
      <c r="E24" s="14" t="s">
        <v>307</v>
      </c>
      <c r="F24" s="14" t="s">
        <v>308</v>
      </c>
      <c r="G24" s="14" t="s">
        <v>309</v>
      </c>
      <c r="H24" s="14" t="s">
        <v>310</v>
      </c>
      <c r="I24" s="14" t="s">
        <v>229</v>
      </c>
      <c r="J24" s="14" t="s">
        <v>311</v>
      </c>
      <c r="K24" s="14" t="s">
        <v>312</v>
      </c>
      <c r="L24" s="14" t="s">
        <v>313</v>
      </c>
      <c r="M24" s="14" t="s">
        <v>314</v>
      </c>
    </row>
    <row r="25" spans="1:13" ht="21" customHeight="1">
      <c r="A25" s="11" t="s">
        <v>36</v>
      </c>
      <c r="C25" s="11" t="s">
        <v>315</v>
      </c>
      <c r="D25" s="11" t="s">
        <v>316</v>
      </c>
      <c r="F25" s="11" t="s">
        <v>317</v>
      </c>
      <c r="G25" s="11" t="s">
        <v>318</v>
      </c>
      <c r="H25" s="11" t="s">
        <v>319</v>
      </c>
      <c r="I25" s="11" t="s">
        <v>254</v>
      </c>
      <c r="K25" s="11" t="s">
        <v>320</v>
      </c>
      <c r="L25" s="11" t="s">
        <v>321</v>
      </c>
      <c r="M25" s="11" t="s">
        <v>322</v>
      </c>
    </row>
    <row r="26" spans="1:13" ht="21" customHeight="1">
      <c r="A26" s="14" t="s">
        <v>38</v>
      </c>
      <c r="C26" s="14" t="s">
        <v>323</v>
      </c>
      <c r="D26" s="14" t="s">
        <v>324</v>
      </c>
      <c r="F26" s="14" t="s">
        <v>325</v>
      </c>
      <c r="G26" s="14" t="s">
        <v>326</v>
      </c>
      <c r="H26" s="14" t="s">
        <v>223</v>
      </c>
      <c r="I26" s="14" t="s">
        <v>161</v>
      </c>
      <c r="K26" s="14" t="s">
        <v>327</v>
      </c>
      <c r="L26" s="14" t="s">
        <v>321</v>
      </c>
    </row>
    <row r="27" spans="1:13" ht="21" customHeight="1">
      <c r="A27" s="11" t="s">
        <v>231</v>
      </c>
      <c r="C27" s="11" t="s">
        <v>328</v>
      </c>
    </row>
    <row r="29" spans="1:13" ht="21" customHeight="1">
      <c r="A29" s="11" t="s">
        <v>329</v>
      </c>
    </row>
    <row r="30" spans="1:13" ht="21" customHeight="1">
      <c r="A30" s="14" t="s">
        <v>30</v>
      </c>
      <c r="B30" s="14" t="s">
        <v>234</v>
      </c>
      <c r="C30" s="14" t="s">
        <v>205</v>
      </c>
      <c r="D30" s="14" t="s">
        <v>19</v>
      </c>
      <c r="E30" s="14" t="s">
        <v>235</v>
      </c>
      <c r="F30" s="14" t="s">
        <v>206</v>
      </c>
      <c r="G30" s="14" t="s">
        <v>60</v>
      </c>
      <c r="H30" s="14" t="s">
        <v>61</v>
      </c>
      <c r="I30" s="14" t="s">
        <v>207</v>
      </c>
      <c r="J30" s="14" t="s">
        <v>235</v>
      </c>
      <c r="K30" s="14" t="s">
        <v>208</v>
      </c>
      <c r="L30" s="14" t="s">
        <v>209</v>
      </c>
    </row>
    <row r="31" spans="1:13" ht="21" customHeight="1">
      <c r="A31" s="11" t="s">
        <v>37</v>
      </c>
      <c r="C31" s="11" t="s">
        <v>277</v>
      </c>
      <c r="D31" s="11" t="s">
        <v>278</v>
      </c>
      <c r="F31" s="11" t="s">
        <v>280</v>
      </c>
      <c r="G31" s="11" t="s">
        <v>281</v>
      </c>
      <c r="H31" s="11" t="s">
        <v>282</v>
      </c>
      <c r="I31" s="11" t="s">
        <v>283</v>
      </c>
      <c r="K31" s="11" t="s">
        <v>285</v>
      </c>
      <c r="L31" s="11" t="s">
        <v>274</v>
      </c>
    </row>
    <row r="32" spans="1:13" ht="21" customHeight="1">
      <c r="A32" s="14" t="s">
        <v>330</v>
      </c>
      <c r="C32" s="14" t="s">
        <v>331</v>
      </c>
      <c r="L32" s="14" t="s">
        <v>274</v>
      </c>
    </row>
    <row r="33" spans="1:12" ht="21" customHeight="1">
      <c r="A33" s="11" t="s">
        <v>35</v>
      </c>
    </row>
    <row r="34" spans="1:12" ht="21" customHeight="1">
      <c r="A34" s="14" t="s">
        <v>34</v>
      </c>
      <c r="C34" s="14" t="s">
        <v>295</v>
      </c>
      <c r="D34" s="14" t="s">
        <v>296</v>
      </c>
      <c r="F34" s="14" t="s">
        <v>298</v>
      </c>
      <c r="G34" s="14" t="s">
        <v>299</v>
      </c>
      <c r="H34" s="14" t="s">
        <v>300</v>
      </c>
      <c r="I34" s="14" t="s">
        <v>301</v>
      </c>
      <c r="K34" s="14" t="s">
        <v>303</v>
      </c>
      <c r="L34" s="14" t="s">
        <v>274</v>
      </c>
    </row>
    <row r="35" spans="1:12" ht="21" customHeight="1">
      <c r="A35" s="11" t="s">
        <v>41</v>
      </c>
    </row>
    <row r="36" spans="1:12" ht="21" customHeight="1">
      <c r="A36" s="14" t="s">
        <v>36</v>
      </c>
      <c r="B36" s="14" t="s">
        <v>332</v>
      </c>
      <c r="C36" s="14" t="s">
        <v>315</v>
      </c>
      <c r="D36" s="14" t="s">
        <v>316</v>
      </c>
      <c r="F36" s="14" t="s">
        <v>317</v>
      </c>
      <c r="G36" s="14" t="s">
        <v>318</v>
      </c>
      <c r="H36" s="14" t="s">
        <v>319</v>
      </c>
      <c r="I36" s="14" t="s">
        <v>254</v>
      </c>
      <c r="K36" s="14" t="s">
        <v>320</v>
      </c>
      <c r="L36" s="14" t="s">
        <v>333</v>
      </c>
    </row>
    <row r="37" spans="1:12" ht="21" customHeight="1">
      <c r="A37" s="11" t="s">
        <v>38</v>
      </c>
      <c r="B37" s="11" t="s">
        <v>334</v>
      </c>
      <c r="C37" s="11" t="s">
        <v>335</v>
      </c>
      <c r="D37" s="11" t="s">
        <v>324</v>
      </c>
      <c r="F37" s="11" t="s">
        <v>325</v>
      </c>
      <c r="G37" s="11" t="s">
        <v>326</v>
      </c>
      <c r="H37" s="11" t="s">
        <v>223</v>
      </c>
      <c r="I37" s="11" t="s">
        <v>161</v>
      </c>
      <c r="K37" s="11" t="s">
        <v>327</v>
      </c>
      <c r="L37" s="11" t="s">
        <v>336</v>
      </c>
    </row>
    <row r="38" spans="1:12" ht="21" customHeight="1">
      <c r="A38" s="14" t="s">
        <v>231</v>
      </c>
      <c r="C38" s="14" t="s">
        <v>337</v>
      </c>
    </row>
    <row r="48" spans="1:12" ht="21" customHeight="1">
      <c r="A48" s="14" t="s">
        <v>338</v>
      </c>
    </row>
    <row r="50" spans="1:4" ht="21" customHeight="1">
      <c r="A50" s="14" t="s">
        <v>339</v>
      </c>
      <c r="B50" s="14" t="s">
        <v>340</v>
      </c>
      <c r="C50" s="14" t="s">
        <v>341</v>
      </c>
      <c r="D50" s="14" t="s">
        <v>342</v>
      </c>
    </row>
    <row r="51" spans="1:4" ht="21" customHeight="1">
      <c r="A51" s="11" t="s">
        <v>343</v>
      </c>
      <c r="B51" s="11" t="s">
        <v>344</v>
      </c>
    </row>
    <row r="53" spans="1:4" ht="21" customHeight="1">
      <c r="B53" s="11" t="s">
        <v>345</v>
      </c>
    </row>
    <row r="54" spans="1:4" ht="21" customHeight="1">
      <c r="B54" s="14" t="s">
        <v>344</v>
      </c>
    </row>
    <row r="55" spans="1:4" ht="21" customHeight="1">
      <c r="B55" s="11" t="s">
        <v>346</v>
      </c>
    </row>
  </sheetData>
  <pageMargins left="0.7" right="0.7" top="0.75" bottom="0.75" header="0.3" footer="0.3"/>
  <pageSetup fitToHeight="0" orientation="landscape"/>
</worksheet>
</file>

<file path=xl/worksheets/sheet16.xml><?xml version="1.0" encoding="utf-8"?>
<worksheet xmlns="http://schemas.openxmlformats.org/spreadsheetml/2006/main" xmlns:r="http://schemas.openxmlformats.org/officeDocument/2006/relationships">
  <sheetPr>
    <pageSetUpPr fitToPage="1"/>
  </sheetPr>
  <dimension ref="A1:H30"/>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9.42578125" customWidth="1"/>
    <col min="2" max="2" width="24.42578125" customWidth="1"/>
    <col min="3" max="3" width="15.7109375" customWidth="1"/>
    <col min="4" max="4" width="27.42578125" customWidth="1"/>
    <col min="5" max="5" width="96.42578125" customWidth="1"/>
    <col min="6" max="8" width="15.7109375" customWidth="1"/>
  </cols>
  <sheetData>
    <row r="1" spans="1:8" ht="42" customHeight="1">
      <c r="A1" s="10" t="s">
        <v>347</v>
      </c>
      <c r="B1" s="10" t="s">
        <v>348</v>
      </c>
      <c r="C1" s="10" t="s">
        <v>349</v>
      </c>
      <c r="D1" s="10" t="s">
        <v>350</v>
      </c>
      <c r="E1" s="10" t="s">
        <v>351</v>
      </c>
    </row>
    <row r="2" spans="1:8" ht="21" customHeight="1">
      <c r="A2" s="14" t="s">
        <v>352</v>
      </c>
      <c r="B2" s="14" t="s">
        <v>353</v>
      </c>
      <c r="E2" s="14" t="s">
        <v>354</v>
      </c>
    </row>
    <row r="4" spans="1:8" ht="21" customHeight="1">
      <c r="A4" s="14" t="s">
        <v>355</v>
      </c>
      <c r="B4" s="16">
        <v>115276.6451612903</v>
      </c>
      <c r="E4" s="18" t="s">
        <v>356</v>
      </c>
      <c r="F4" s="18"/>
      <c r="G4" s="18"/>
      <c r="H4" s="18"/>
    </row>
    <row r="5" spans="1:8" ht="21" customHeight="1">
      <c r="A5" s="11" t="s">
        <v>357</v>
      </c>
      <c r="B5" s="13">
        <v>0.2</v>
      </c>
      <c r="E5" s="18"/>
      <c r="F5" s="18"/>
      <c r="G5" s="18"/>
      <c r="H5" s="18"/>
    </row>
    <row r="6" spans="1:8" ht="21" customHeight="1">
      <c r="A6" s="14" t="s">
        <v>108</v>
      </c>
      <c r="B6" s="16">
        <v>633.6127659574468</v>
      </c>
    </row>
    <row r="7" spans="1:8" ht="21" customHeight="1">
      <c r="A7" s="11" t="s">
        <v>358</v>
      </c>
      <c r="B7" s="12">
        <v>1418.909104477612</v>
      </c>
    </row>
    <row r="8" spans="1:8" ht="21" customHeight="1">
      <c r="A8" s="14" t="s">
        <v>359</v>
      </c>
      <c r="B8" s="16">
        <v>839.9455294117646</v>
      </c>
    </row>
    <row r="11" spans="1:8" ht="43" customHeight="1">
      <c r="A11" s="11" t="s">
        <v>360</v>
      </c>
      <c r="B11" s="12">
        <f>$B$4</f>
        <v>115276.64516129032</v>
      </c>
      <c r="C11" s="12">
        <f>$B$7</f>
        <v>1418.909104477612</v>
      </c>
      <c r="D11" s="17">
        <f>IFERROR(B11/C11,"N/A")</f>
        <v>81.24314996465596</v>
      </c>
      <c r="E11" s="11" t="s">
        <v>361</v>
      </c>
    </row>
    <row r="12" spans="1:8" ht="43" customHeight="1">
      <c r="A12" s="14" t="s">
        <v>362</v>
      </c>
      <c r="B12" s="16">
        <f>$B$4</f>
        <v>115276.64516129032</v>
      </c>
      <c r="C12" s="16">
        <f>$B$8</f>
        <v>839.9455294117646</v>
      </c>
      <c r="D12" s="22">
        <f>IFERROR(B12/C12,"N/A")</f>
        <v>137.24300103367597</v>
      </c>
      <c r="E12" s="14" t="s">
        <v>363</v>
      </c>
    </row>
    <row r="13" spans="1:8" ht="43" customHeight="1">
      <c r="A13" s="11" t="s">
        <v>364</v>
      </c>
      <c r="B13" s="12">
        <f>$B$4</f>
        <v>115276.64516129032</v>
      </c>
      <c r="C13" s="12">
        <f>$B$6</f>
        <v>633.6127659574468</v>
      </c>
      <c r="D13" s="17">
        <f>IFERROR(B13/C13,"N/A")</f>
        <v>181.93548387096774</v>
      </c>
      <c r="E13" s="11" t="s">
        <v>365</v>
      </c>
    </row>
    <row r="14" spans="1:8" ht="43" customHeight="1">
      <c r="A14" s="14" t="s">
        <v>366</v>
      </c>
      <c r="B14" s="16">
        <f>$B$4</f>
        <v>115276.64516129032</v>
      </c>
      <c r="C14" s="16">
        <f>$B$6*(1-$B$5)</f>
        <v>506.8902127659574</v>
      </c>
      <c r="D14" s="22">
        <f>IFERROR(B14/C14,"N/A")</f>
        <v>227.4193548387097</v>
      </c>
      <c r="E14" s="14" t="s">
        <v>367</v>
      </c>
    </row>
    <row r="17" spans="1:5" ht="21" customHeight="1">
      <c r="A17" s="3" t="s">
        <v>368</v>
      </c>
      <c r="B17" s="3"/>
      <c r="C17" s="3"/>
      <c r="D17" s="3"/>
      <c r="E17" s="3"/>
    </row>
    <row r="18" spans="1:5" ht="21" customHeight="1">
      <c r="A18" s="3"/>
      <c r="B18" s="3"/>
      <c r="C18" s="3"/>
      <c r="D18" s="3"/>
      <c r="E18" s="3"/>
    </row>
    <row r="20" spans="1:5" ht="21" customHeight="1">
      <c r="A20" s="18" t="s">
        <v>369</v>
      </c>
      <c r="B20" s="18"/>
      <c r="C20" s="18"/>
      <c r="D20" s="18"/>
      <c r="E20" s="18"/>
    </row>
    <row r="21" spans="1:5" ht="21" customHeight="1">
      <c r="A21" s="18"/>
      <c r="B21" s="18"/>
      <c r="C21" s="18"/>
      <c r="D21" s="18"/>
      <c r="E21" s="18"/>
    </row>
    <row r="24" spans="1:5" ht="21" customHeight="1">
      <c r="A24" s="14" t="s">
        <v>370</v>
      </c>
      <c r="B24" s="14" t="s">
        <v>371</v>
      </c>
      <c r="C24" s="14" t="s">
        <v>6</v>
      </c>
      <c r="D24" s="14" t="s">
        <v>372</v>
      </c>
    </row>
    <row r="25" spans="1:5" ht="21" customHeight="1">
      <c r="A25" s="12">
        <f>$B$4*0.8</f>
        <v>92221.31612903226</v>
      </c>
      <c r="B25" s="17">
        <f>IFERROR(A25/($B$6*1.2),"N/A")</f>
        <v>121.29032258064518</v>
      </c>
      <c r="C25" s="17">
        <f>IFERROR(A25/($B$6*1),"N/A")</f>
        <v>145.5483870967742</v>
      </c>
      <c r="D25" s="17">
        <f>IFERROR(A25/($B$6*0.8),"N/A")</f>
        <v>181.93548387096777</v>
      </c>
    </row>
    <row r="26" spans="1:5" ht="21" customHeight="1">
      <c r="A26" s="16">
        <f>$B$4*1</f>
        <v>115276.64516129032</v>
      </c>
      <c r="B26" s="22">
        <f>IFERROR(A26/($B$6*1.2),"N/A")</f>
        <v>151.61290322580646</v>
      </c>
      <c r="C26" s="22">
        <f>IFERROR(A26/($B$6*1),"N/A")</f>
        <v>181.93548387096774</v>
      </c>
      <c r="D26" s="22">
        <f>IFERROR(A26/($B$6*0.8),"N/A")</f>
        <v>227.4193548387097</v>
      </c>
    </row>
    <row r="27" spans="1:5" ht="21" customHeight="1">
      <c r="A27" s="12">
        <f>$B$4*1.2</f>
        <v>138331.97419354838</v>
      </c>
      <c r="B27" s="17">
        <f>IFERROR(A27/($B$6*1.2),"N/A")</f>
        <v>181.93548387096777</v>
      </c>
      <c r="C27" s="17">
        <f>IFERROR(A27/($B$6*1),"N/A")</f>
        <v>218.32258064516128</v>
      </c>
      <c r="D27" s="17">
        <f>IFERROR(A27/($B$6*0.8),"N/A")</f>
        <v>272.9032258064516</v>
      </c>
    </row>
    <row r="29" spans="1:5" ht="21" customHeight="1">
      <c r="A29" s="18" t="s">
        <v>373</v>
      </c>
      <c r="B29" s="18"/>
      <c r="C29" s="18"/>
      <c r="D29" s="18"/>
      <c r="E29" s="18"/>
    </row>
    <row r="30" spans="1:5" ht="21" customHeight="1">
      <c r="A30" s="18"/>
      <c r="B30" s="18"/>
      <c r="C30" s="18"/>
      <c r="D30" s="18"/>
      <c r="E30" s="18"/>
    </row>
  </sheetData>
  <mergeCells count="4">
    <mergeCell ref="E4:H5"/>
    <mergeCell ref="A17:E18"/>
    <mergeCell ref="A20:E21"/>
    <mergeCell ref="A29:E30"/>
  </mergeCells>
  <pageMargins left="0.7" right="0.7" top="0.75" bottom="0.75" header="0.3" footer="0.3"/>
  <pageSetup fitToHeight="0" orientation="landscape"/>
</worksheet>
</file>

<file path=xl/worksheets/sheet17.xml><?xml version="1.0" encoding="utf-8"?>
<worksheet xmlns="http://schemas.openxmlformats.org/spreadsheetml/2006/main" xmlns:r="http://schemas.openxmlformats.org/officeDocument/2006/relationships">
  <sheetPr>
    <pageSetUpPr fitToPage="1"/>
  </sheetPr>
  <dimension ref="A1:F4"/>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7.42578125" customWidth="1"/>
    <col min="2" max="6" width="15.7109375" customWidth="1"/>
  </cols>
  <sheetData>
    <row r="1" spans="1:6" ht="42" customHeight="1">
      <c r="A1" s="10" t="s">
        <v>124</v>
      </c>
      <c r="B1" s="10" t="s">
        <v>16</v>
      </c>
      <c r="C1" s="10" t="s">
        <v>87</v>
      </c>
      <c r="D1" s="10" t="s">
        <v>18</v>
      </c>
      <c r="E1" s="10" t="s">
        <v>19</v>
      </c>
      <c r="F1" s="10" t="s">
        <v>127</v>
      </c>
    </row>
    <row r="2" spans="1:6" ht="21" customHeight="1">
      <c r="A2" s="14" t="s">
        <v>11</v>
      </c>
      <c r="B2" s="14">
        <v>61601.33</v>
      </c>
      <c r="C2" s="14">
        <v>9</v>
      </c>
      <c r="D2" s="14">
        <v>6844.592222222223</v>
      </c>
      <c r="E2" s="14">
        <v>1965</v>
      </c>
      <c r="F2" s="14">
        <v>0.004580152671755725</v>
      </c>
    </row>
    <row r="3" spans="1:6" ht="21" customHeight="1">
      <c r="A3" s="11" t="s">
        <v>12</v>
      </c>
      <c r="B3" s="11">
        <v>95066.91</v>
      </c>
      <c r="C3" s="11">
        <v>67</v>
      </c>
      <c r="D3" s="11">
        <v>1418.909104477612</v>
      </c>
      <c r="E3" s="11">
        <v>19255</v>
      </c>
      <c r="F3" s="11">
        <v>0.00347961568423786</v>
      </c>
    </row>
    <row r="4" spans="1:6" ht="21" customHeight="1">
      <c r="A4" s="14" t="s">
        <v>13</v>
      </c>
      <c r="B4" s="14">
        <v>119119.2</v>
      </c>
      <c r="C4" s="14">
        <v>188</v>
      </c>
      <c r="D4" s="14">
        <v>633.6127659574468</v>
      </c>
      <c r="E4" s="14">
        <v>155599</v>
      </c>
      <c r="F4" s="14">
        <v>0.001208233986079602</v>
      </c>
    </row>
  </sheetData>
  <pageMargins left="0.7" right="0.7" top="0.75" bottom="0.75" header="0.3" footer="0.3"/>
  <pageSetup fitToHeight="0" orientation="landscape"/>
</worksheet>
</file>

<file path=xl/worksheets/sheet18.xml><?xml version="1.0" encoding="utf-8"?>
<worksheet xmlns="http://schemas.openxmlformats.org/spreadsheetml/2006/main" xmlns:r="http://schemas.openxmlformats.org/officeDocument/2006/relationships">
  <sheetPr>
    <pageSetUpPr fitToPage="1"/>
  </sheetPr>
  <dimension ref="A1:H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8" width="23.7109375" customWidth="1"/>
  </cols>
  <sheetData>
    <row r="1" spans="1:8" ht="32" customHeight="1">
      <c r="A1" s="1" t="s">
        <v>374</v>
      </c>
      <c r="B1" s="1"/>
      <c r="C1" s="1"/>
      <c r="D1" s="1"/>
      <c r="E1" s="1"/>
      <c r="F1" s="1"/>
      <c r="G1" s="1"/>
      <c r="H1" s="1"/>
    </row>
    <row r="2" spans="1:8" ht="32" customHeight="1">
      <c r="A2" s="2" t="s">
        <v>375</v>
      </c>
      <c r="B2" s="2"/>
      <c r="C2" s="2"/>
      <c r="D2" s="2"/>
      <c r="E2" s="2"/>
      <c r="F2" s="2"/>
      <c r="G2" s="2"/>
      <c r="H2" s="2"/>
    </row>
    <row r="4" spans="1:8" ht="32" customHeight="1">
      <c r="A4" s="10" t="s">
        <v>30</v>
      </c>
      <c r="B4" s="10" t="s">
        <v>205</v>
      </c>
      <c r="C4" s="10" t="s">
        <v>206</v>
      </c>
      <c r="D4" s="10" t="s">
        <v>208</v>
      </c>
      <c r="E4" s="10" t="s">
        <v>19</v>
      </c>
      <c r="F4" s="10" t="s">
        <v>60</v>
      </c>
      <c r="G4" s="10" t="s">
        <v>61</v>
      </c>
      <c r="H4" s="10" t="s">
        <v>207</v>
      </c>
    </row>
    <row r="5" spans="1:8" ht="30" customHeight="1">
      <c r="A5" s="14" t="s">
        <v>54</v>
      </c>
      <c r="B5" s="14" t="s">
        <v>376</v>
      </c>
      <c r="C5" s="14" t="s">
        <v>212</v>
      </c>
      <c r="D5" s="14" t="s">
        <v>377</v>
      </c>
      <c r="E5" s="14" t="s">
        <v>211</v>
      </c>
      <c r="F5" s="14" t="s">
        <v>153</v>
      </c>
      <c r="G5" s="14" t="s">
        <v>145</v>
      </c>
      <c r="H5" s="14" t="s">
        <v>213</v>
      </c>
    </row>
    <row r="6" spans="1:8" ht="30" customHeight="1">
      <c r="A6" s="11" t="s">
        <v>41</v>
      </c>
      <c r="B6" s="11" t="s">
        <v>378</v>
      </c>
      <c r="C6" s="11" t="s">
        <v>217</v>
      </c>
      <c r="D6" s="11" t="s">
        <v>377</v>
      </c>
      <c r="E6" s="11" t="s">
        <v>216</v>
      </c>
      <c r="F6" s="11" t="s">
        <v>218</v>
      </c>
      <c r="G6" s="11" t="s">
        <v>213</v>
      </c>
      <c r="H6" s="11" t="s">
        <v>213</v>
      </c>
    </row>
    <row r="7" spans="1:8" ht="30" customHeight="1">
      <c r="A7" s="14" t="s">
        <v>37</v>
      </c>
      <c r="B7" s="14" t="s">
        <v>379</v>
      </c>
      <c r="C7" s="14" t="s">
        <v>380</v>
      </c>
      <c r="D7" s="14" t="s">
        <v>381</v>
      </c>
      <c r="E7" s="14" t="s">
        <v>382</v>
      </c>
      <c r="F7" s="14" t="s">
        <v>222</v>
      </c>
      <c r="G7" s="14" t="s">
        <v>223</v>
      </c>
      <c r="H7" s="14" t="s">
        <v>157</v>
      </c>
    </row>
    <row r="8" spans="1:8" ht="30" customHeight="1">
      <c r="A8" s="11" t="s">
        <v>35</v>
      </c>
      <c r="B8" s="11" t="s">
        <v>383</v>
      </c>
      <c r="C8" s="11" t="s">
        <v>227</v>
      </c>
      <c r="D8" s="11" t="s">
        <v>384</v>
      </c>
      <c r="E8" s="11" t="s">
        <v>226</v>
      </c>
      <c r="F8" s="11" t="s">
        <v>228</v>
      </c>
      <c r="G8" s="11" t="s">
        <v>229</v>
      </c>
      <c r="H8" s="11" t="s">
        <v>161</v>
      </c>
    </row>
  </sheetData>
  <autoFilter ref="A4:H8"/>
  <mergeCells count="2">
    <mergeCell ref="A1:H1"/>
    <mergeCell ref="A2:H2"/>
  </mergeCells>
  <pageMargins left="0.7" right="0.7" top="0.75" bottom="0.75" header="0.3" footer="0.3"/>
  <pageSetup fitToHeight="0" orientation="landscape"/>
</worksheet>
</file>

<file path=xl/worksheets/sheet19.xml><?xml version="1.0" encoding="utf-8"?>
<worksheet xmlns="http://schemas.openxmlformats.org/spreadsheetml/2006/main" xmlns:r="http://schemas.openxmlformats.org/officeDocument/2006/relationships">
  <sheetPr>
    <pageSetUpPr fitToPage="1"/>
  </sheetPr>
  <dimension ref="A1:H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8" width="23.7109375" customWidth="1"/>
  </cols>
  <sheetData>
    <row r="1" spans="1:8" ht="32" customHeight="1">
      <c r="A1" s="1" t="s">
        <v>385</v>
      </c>
      <c r="B1" s="1"/>
      <c r="C1" s="1"/>
      <c r="D1" s="1"/>
      <c r="E1" s="1"/>
      <c r="F1" s="1"/>
      <c r="G1" s="1"/>
      <c r="H1" s="1"/>
    </row>
    <row r="2" spans="1:8" ht="32" customHeight="1">
      <c r="A2" s="2" t="s">
        <v>386</v>
      </c>
      <c r="B2" s="2"/>
      <c r="C2" s="2"/>
      <c r="D2" s="2"/>
      <c r="E2" s="2"/>
      <c r="F2" s="2"/>
      <c r="G2" s="2"/>
      <c r="H2" s="2"/>
    </row>
    <row r="4" spans="1:8" ht="32" customHeight="1">
      <c r="A4" s="10" t="s">
        <v>30</v>
      </c>
      <c r="B4" s="10" t="s">
        <v>205</v>
      </c>
      <c r="C4" s="10" t="s">
        <v>206</v>
      </c>
      <c r="D4" s="10" t="s">
        <v>208</v>
      </c>
      <c r="E4" s="10" t="s">
        <v>19</v>
      </c>
      <c r="F4" s="10" t="s">
        <v>60</v>
      </c>
      <c r="G4" s="10" t="s">
        <v>61</v>
      </c>
      <c r="H4" s="10" t="s">
        <v>207</v>
      </c>
    </row>
    <row r="5" spans="1:8" ht="30" customHeight="1">
      <c r="A5" s="14" t="s">
        <v>37</v>
      </c>
      <c r="B5" s="14" t="s">
        <v>387</v>
      </c>
      <c r="C5" s="14" t="s">
        <v>388</v>
      </c>
      <c r="D5" s="14" t="s">
        <v>389</v>
      </c>
      <c r="E5" s="14" t="s">
        <v>390</v>
      </c>
      <c r="F5" s="14" t="s">
        <v>391</v>
      </c>
      <c r="G5" s="14" t="s">
        <v>242</v>
      </c>
      <c r="H5" s="14" t="s">
        <v>243</v>
      </c>
    </row>
    <row r="6" spans="1:8" ht="30" customHeight="1">
      <c r="A6" s="11" t="s">
        <v>41</v>
      </c>
      <c r="B6" s="11" t="s">
        <v>392</v>
      </c>
      <c r="C6" s="11" t="s">
        <v>393</v>
      </c>
      <c r="D6" s="11" t="s">
        <v>394</v>
      </c>
      <c r="E6" s="11" t="s">
        <v>395</v>
      </c>
      <c r="F6" s="11" t="s">
        <v>252</v>
      </c>
      <c r="G6" s="11" t="s">
        <v>253</v>
      </c>
      <c r="H6" s="11" t="s">
        <v>254</v>
      </c>
    </row>
    <row r="7" spans="1:8" ht="30" customHeight="1">
      <c r="A7" s="14" t="s">
        <v>39</v>
      </c>
      <c r="B7" s="14" t="s">
        <v>396</v>
      </c>
      <c r="C7" s="14" t="s">
        <v>260</v>
      </c>
      <c r="D7" s="14" t="s">
        <v>377</v>
      </c>
      <c r="E7" s="14" t="s">
        <v>259</v>
      </c>
      <c r="F7" s="14" t="s">
        <v>157</v>
      </c>
      <c r="G7" s="14" t="s">
        <v>213</v>
      </c>
      <c r="H7" s="14" t="s">
        <v>213</v>
      </c>
    </row>
    <row r="8" spans="1:8" ht="30" customHeight="1">
      <c r="A8" s="11" t="s">
        <v>34</v>
      </c>
      <c r="B8" s="11" t="s">
        <v>397</v>
      </c>
      <c r="C8" s="11" t="s">
        <v>398</v>
      </c>
      <c r="D8" s="11" t="s">
        <v>399</v>
      </c>
      <c r="E8" s="11" t="s">
        <v>400</v>
      </c>
      <c r="F8" s="11" t="s">
        <v>401</v>
      </c>
      <c r="G8" s="11" t="s">
        <v>265</v>
      </c>
      <c r="H8" s="11" t="s">
        <v>266</v>
      </c>
    </row>
    <row r="9" spans="1:8" ht="30" customHeight="1">
      <c r="A9" s="14" t="s">
        <v>40</v>
      </c>
      <c r="B9" s="14" t="s">
        <v>402</v>
      </c>
      <c r="C9" s="14" t="s">
        <v>403</v>
      </c>
      <c r="D9" s="14" t="s">
        <v>404</v>
      </c>
      <c r="E9" s="14" t="s">
        <v>405</v>
      </c>
      <c r="F9" s="14" t="s">
        <v>272</v>
      </c>
      <c r="G9" s="14" t="s">
        <v>229</v>
      </c>
      <c r="H9" s="14" t="s">
        <v>149</v>
      </c>
    </row>
    <row r="10" spans="1:8" ht="30" customHeight="1">
      <c r="A10" s="11" t="s">
        <v>35</v>
      </c>
      <c r="B10" s="11" t="s">
        <v>406</v>
      </c>
      <c r="C10" s="11" t="s">
        <v>377</v>
      </c>
      <c r="D10" s="11" t="s">
        <v>377</v>
      </c>
      <c r="E10" s="11" t="s">
        <v>377</v>
      </c>
      <c r="F10" s="11" t="s">
        <v>377</v>
      </c>
      <c r="G10" s="11" t="s">
        <v>377</v>
      </c>
      <c r="H10" s="11" t="s">
        <v>377</v>
      </c>
    </row>
  </sheetData>
  <autoFilter ref="A4:H10"/>
  <mergeCells count="2">
    <mergeCell ref="A1:H1"/>
    <mergeCell ref="A2:H2"/>
  </mergeCells>
  <pageMargins left="0.7" right="0.7" top="0.75" bottom="0.75" header="0.3" footer="0.3"/>
  <pageSetup fitToHeight="0" orientation="landscape"/>
</worksheet>
</file>

<file path=xl/worksheets/sheet20.xml><?xml version="1.0" encoding="utf-8"?>
<worksheet xmlns="http://schemas.openxmlformats.org/spreadsheetml/2006/main" xmlns:r="http://schemas.openxmlformats.org/officeDocument/2006/relationships">
  <sheetPr>
    <pageSetUpPr fitToPage="1"/>
  </sheetPr>
  <dimension ref="A1:H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8" width="23.7109375" customWidth="1"/>
  </cols>
  <sheetData>
    <row r="1" spans="1:8" ht="32" customHeight="1">
      <c r="A1" s="1" t="s">
        <v>407</v>
      </c>
      <c r="B1" s="1"/>
      <c r="C1" s="1"/>
      <c r="D1" s="1"/>
      <c r="E1" s="1"/>
      <c r="F1" s="1"/>
      <c r="G1" s="1"/>
      <c r="H1" s="1"/>
    </row>
    <row r="2" spans="1:8" ht="32" customHeight="1">
      <c r="A2" s="2" t="s">
        <v>408</v>
      </c>
      <c r="B2" s="2"/>
      <c r="C2" s="2"/>
      <c r="D2" s="2"/>
      <c r="E2" s="2"/>
      <c r="F2" s="2"/>
      <c r="G2" s="2"/>
      <c r="H2" s="2"/>
    </row>
    <row r="4" spans="1:8" ht="32" customHeight="1">
      <c r="A4" s="10" t="s">
        <v>30</v>
      </c>
      <c r="B4" s="10" t="s">
        <v>205</v>
      </c>
      <c r="C4" s="10" t="s">
        <v>206</v>
      </c>
      <c r="D4" s="10" t="s">
        <v>208</v>
      </c>
      <c r="E4" s="10" t="s">
        <v>19</v>
      </c>
      <c r="F4" s="10" t="s">
        <v>60</v>
      </c>
      <c r="G4" s="10" t="s">
        <v>61</v>
      </c>
      <c r="H4" s="10" t="s">
        <v>207</v>
      </c>
    </row>
    <row r="5" spans="1:8" ht="30" customHeight="1">
      <c r="A5" s="14" t="s">
        <v>37</v>
      </c>
      <c r="B5" s="14" t="s">
        <v>409</v>
      </c>
      <c r="C5" s="14" t="s">
        <v>410</v>
      </c>
      <c r="D5" s="14" t="s">
        <v>411</v>
      </c>
      <c r="E5" s="14" t="s">
        <v>412</v>
      </c>
      <c r="F5" s="14" t="s">
        <v>413</v>
      </c>
      <c r="G5" s="14" t="s">
        <v>282</v>
      </c>
      <c r="H5" s="14" t="s">
        <v>283</v>
      </c>
    </row>
    <row r="6" spans="1:8" ht="30" customHeight="1">
      <c r="A6" s="11" t="s">
        <v>35</v>
      </c>
      <c r="B6" s="11" t="s">
        <v>414</v>
      </c>
      <c r="C6" s="11" t="s">
        <v>415</v>
      </c>
      <c r="D6" s="11" t="s">
        <v>416</v>
      </c>
      <c r="E6" s="11" t="s">
        <v>417</v>
      </c>
      <c r="F6" s="11" t="s">
        <v>290</v>
      </c>
      <c r="G6" s="11" t="s">
        <v>291</v>
      </c>
      <c r="H6" s="11" t="s">
        <v>292</v>
      </c>
    </row>
    <row r="7" spans="1:8" ht="30" customHeight="1">
      <c r="A7" s="14" t="s">
        <v>34</v>
      </c>
      <c r="B7" s="14" t="s">
        <v>418</v>
      </c>
      <c r="C7" s="14" t="s">
        <v>419</v>
      </c>
      <c r="D7" s="14" t="s">
        <v>420</v>
      </c>
      <c r="E7" s="14" t="s">
        <v>421</v>
      </c>
      <c r="F7" s="14" t="s">
        <v>422</v>
      </c>
      <c r="G7" s="14" t="s">
        <v>300</v>
      </c>
      <c r="H7" s="14" t="s">
        <v>301</v>
      </c>
    </row>
    <row r="8" spans="1:8" ht="30" customHeight="1">
      <c r="A8" s="11" t="s">
        <v>41</v>
      </c>
      <c r="B8" s="11" t="s">
        <v>423</v>
      </c>
      <c r="C8" s="11" t="s">
        <v>424</v>
      </c>
      <c r="D8" s="11" t="s">
        <v>425</v>
      </c>
      <c r="E8" s="11" t="s">
        <v>426</v>
      </c>
      <c r="F8" s="11" t="s">
        <v>309</v>
      </c>
      <c r="G8" s="11" t="s">
        <v>310</v>
      </c>
      <c r="H8" s="11" t="s">
        <v>229</v>
      </c>
    </row>
    <row r="9" spans="1:8" ht="30" customHeight="1">
      <c r="A9" s="14" t="s">
        <v>36</v>
      </c>
      <c r="B9" s="14" t="s">
        <v>427</v>
      </c>
      <c r="C9" s="14" t="s">
        <v>428</v>
      </c>
      <c r="D9" s="14" t="s">
        <v>429</v>
      </c>
      <c r="E9" s="14" t="s">
        <v>430</v>
      </c>
      <c r="F9" s="14" t="s">
        <v>318</v>
      </c>
      <c r="G9" s="14" t="s">
        <v>319</v>
      </c>
      <c r="H9" s="14" t="s">
        <v>254</v>
      </c>
    </row>
    <row r="10" spans="1:8" ht="30" customHeight="1">
      <c r="A10" s="11" t="s">
        <v>38</v>
      </c>
      <c r="B10" s="11" t="s">
        <v>431</v>
      </c>
      <c r="C10" s="11" t="s">
        <v>432</v>
      </c>
      <c r="D10" s="11" t="s">
        <v>433</v>
      </c>
      <c r="E10" s="11" t="s">
        <v>434</v>
      </c>
      <c r="F10" s="11" t="s">
        <v>326</v>
      </c>
      <c r="G10" s="11" t="s">
        <v>223</v>
      </c>
      <c r="H10" s="11" t="s">
        <v>161</v>
      </c>
    </row>
  </sheetData>
  <autoFilter ref="A4:H10"/>
  <mergeCells count="2">
    <mergeCell ref="A1:H1"/>
    <mergeCell ref="A2:H2"/>
  </mergeCells>
  <pageMargins left="0.7" right="0.7" top="0.75" bottom="0.75" header="0.3" footer="0.3"/>
  <pageSetup fitToHeight="0" orientation="landscape"/>
</worksheet>
</file>

<file path=xl/worksheets/sheet21.xml><?xml version="1.0" encoding="utf-8"?>
<worksheet xmlns="http://schemas.openxmlformats.org/spreadsheetml/2006/main" xmlns:r="http://schemas.openxmlformats.org/officeDocument/2006/relationships">
  <sheetPr>
    <pageSetUpPr fitToPage="1"/>
  </sheetPr>
  <dimension ref="A1:H1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8" width="23.7109375" customWidth="1"/>
  </cols>
  <sheetData>
    <row r="1" spans="1:8" ht="32" customHeight="1">
      <c r="A1" s="1" t="s">
        <v>435</v>
      </c>
      <c r="B1" s="1"/>
      <c r="C1" s="1"/>
      <c r="D1" s="1"/>
      <c r="E1" s="1"/>
      <c r="F1" s="1"/>
      <c r="G1" s="1"/>
      <c r="H1" s="1"/>
    </row>
    <row r="2" spans="1:8" ht="32" customHeight="1">
      <c r="A2" s="3" t="s">
        <v>436</v>
      </c>
      <c r="B2" s="3"/>
      <c r="C2" s="3"/>
      <c r="D2" s="3"/>
      <c r="E2" s="3"/>
      <c r="F2" s="3"/>
      <c r="G2" s="3"/>
      <c r="H2" s="3"/>
    </row>
    <row r="4" spans="1:8" ht="32" customHeight="1">
      <c r="A4" s="10" t="s">
        <v>30</v>
      </c>
      <c r="B4" s="10" t="s">
        <v>205</v>
      </c>
      <c r="C4" s="10" t="s">
        <v>206</v>
      </c>
      <c r="D4" s="10" t="s">
        <v>208</v>
      </c>
      <c r="E4" s="10" t="s">
        <v>19</v>
      </c>
      <c r="F4" s="10" t="s">
        <v>60</v>
      </c>
      <c r="G4" s="10" t="s">
        <v>61</v>
      </c>
      <c r="H4" s="10" t="s">
        <v>207</v>
      </c>
    </row>
    <row r="5" spans="1:8" ht="30" customHeight="1">
      <c r="A5" s="14" t="s">
        <v>37</v>
      </c>
      <c r="B5" s="14" t="s">
        <v>437</v>
      </c>
      <c r="C5" s="14" t="s">
        <v>438</v>
      </c>
      <c r="D5" s="14" t="s">
        <v>439</v>
      </c>
      <c r="E5" s="14" t="s">
        <v>440</v>
      </c>
      <c r="F5" s="14" t="s">
        <v>441</v>
      </c>
      <c r="G5" s="14" t="s">
        <v>442</v>
      </c>
      <c r="H5" s="14" t="s">
        <v>161</v>
      </c>
    </row>
    <row r="6" spans="1:8" ht="30" customHeight="1">
      <c r="A6" s="11" t="s">
        <v>36</v>
      </c>
      <c r="B6" s="11" t="s">
        <v>443</v>
      </c>
      <c r="C6" s="11" t="s">
        <v>444</v>
      </c>
      <c r="D6" s="11" t="s">
        <v>445</v>
      </c>
      <c r="E6" s="11" t="s">
        <v>446</v>
      </c>
      <c r="F6" s="11" t="s">
        <v>447</v>
      </c>
      <c r="G6" s="11" t="s">
        <v>223</v>
      </c>
      <c r="H6" s="11" t="s">
        <v>448</v>
      </c>
    </row>
    <row r="7" spans="1:8" ht="30" customHeight="1">
      <c r="A7" s="14" t="s">
        <v>35</v>
      </c>
      <c r="B7" s="14" t="s">
        <v>449</v>
      </c>
      <c r="C7" s="14" t="s">
        <v>450</v>
      </c>
      <c r="D7" s="14" t="s">
        <v>451</v>
      </c>
      <c r="E7" s="14" t="s">
        <v>452</v>
      </c>
      <c r="F7" s="14" t="s">
        <v>453</v>
      </c>
      <c r="G7" s="14" t="s">
        <v>454</v>
      </c>
      <c r="H7" s="14" t="s">
        <v>157</v>
      </c>
    </row>
    <row r="8" spans="1:8" ht="30" customHeight="1">
      <c r="A8" s="11" t="s">
        <v>38</v>
      </c>
      <c r="B8" s="11" t="s">
        <v>455</v>
      </c>
      <c r="C8" s="11" t="s">
        <v>456</v>
      </c>
      <c r="D8" s="11" t="s">
        <v>457</v>
      </c>
      <c r="E8" s="11" t="s">
        <v>458</v>
      </c>
      <c r="F8" s="11" t="s">
        <v>459</v>
      </c>
      <c r="G8" s="11" t="s">
        <v>460</v>
      </c>
      <c r="H8" s="11" t="s">
        <v>157</v>
      </c>
    </row>
    <row r="9" spans="1:8" ht="30" customHeight="1">
      <c r="A9" s="14" t="s">
        <v>34</v>
      </c>
      <c r="B9" s="14" t="s">
        <v>461</v>
      </c>
      <c r="C9" s="14" t="s">
        <v>462</v>
      </c>
      <c r="D9" s="14" t="s">
        <v>463</v>
      </c>
      <c r="E9" s="14" t="s">
        <v>464</v>
      </c>
      <c r="F9" s="14" t="s">
        <v>465</v>
      </c>
      <c r="G9" s="14" t="s">
        <v>466</v>
      </c>
      <c r="H9" s="14" t="s">
        <v>467</v>
      </c>
    </row>
    <row r="10" spans="1:8" ht="30" customHeight="1">
      <c r="A10" s="11" t="s">
        <v>41</v>
      </c>
      <c r="B10" s="11" t="s">
        <v>468</v>
      </c>
      <c r="C10" s="11" t="s">
        <v>469</v>
      </c>
      <c r="D10" s="11" t="s">
        <v>470</v>
      </c>
      <c r="E10" s="11" t="s">
        <v>471</v>
      </c>
      <c r="F10" s="11" t="s">
        <v>472</v>
      </c>
      <c r="G10" s="11" t="s">
        <v>473</v>
      </c>
      <c r="H10" s="11" t="s">
        <v>474</v>
      </c>
    </row>
  </sheetData>
  <autoFilter ref="A4:H10"/>
  <mergeCells count="2">
    <mergeCell ref="A1:H1"/>
    <mergeCell ref="A2:H2"/>
  </mergeCells>
  <pageMargins left="0.7" right="0.7" top="0.75" bottom="0.75" header="0.3" footer="0.3"/>
  <pageSetup fitToHeight="0" orientation="landscape"/>
</worksheet>
</file>

<file path=xl/worksheets/sheet22.xml><?xml version="1.0" encoding="utf-8"?>
<worksheet xmlns="http://schemas.openxmlformats.org/spreadsheetml/2006/main" xmlns:r="http://schemas.openxmlformats.org/officeDocument/2006/relationships">
  <sheetPr>
    <pageSetUpPr fitToPage="1"/>
  </sheetPr>
  <dimension ref="A1:K2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46.7109375" customWidth="1"/>
    <col min="3" max="11" width="23.7109375" customWidth="1"/>
  </cols>
  <sheetData>
    <row r="1" spans="1:11" ht="32" customHeight="1">
      <c r="A1" s="1" t="s">
        <v>475</v>
      </c>
      <c r="B1" s="1"/>
      <c r="C1" s="1"/>
      <c r="D1" s="1"/>
      <c r="E1" s="1"/>
      <c r="F1" s="1"/>
      <c r="G1" s="1"/>
      <c r="H1" s="1"/>
      <c r="I1" s="1"/>
      <c r="J1" s="1"/>
      <c r="K1" s="1"/>
    </row>
    <row r="2" spans="1:11" ht="34" customHeight="1">
      <c r="A2" s="3" t="s">
        <v>476</v>
      </c>
      <c r="B2" s="3"/>
      <c r="C2" s="3"/>
      <c r="D2" s="3"/>
      <c r="E2" s="3"/>
      <c r="F2" s="3"/>
      <c r="G2" s="3"/>
      <c r="H2" s="3"/>
      <c r="I2" s="3"/>
      <c r="J2" s="3"/>
      <c r="K2" s="3"/>
    </row>
    <row r="4" spans="1:11" ht="32" customHeight="1">
      <c r="A4" s="10" t="s">
        <v>165</v>
      </c>
      <c r="B4" s="10" t="s">
        <v>30</v>
      </c>
      <c r="C4" s="10" t="s">
        <v>205</v>
      </c>
      <c r="D4" s="10" t="s">
        <v>206</v>
      </c>
      <c r="E4" s="10" t="s">
        <v>208</v>
      </c>
      <c r="F4" s="10" t="s">
        <v>19</v>
      </c>
      <c r="G4" s="10" t="s">
        <v>60</v>
      </c>
      <c r="H4" s="10" t="s">
        <v>61</v>
      </c>
      <c r="I4" s="10" t="s">
        <v>207</v>
      </c>
      <c r="J4" s="10" t="s">
        <v>477</v>
      </c>
      <c r="K4" s="10" t="s">
        <v>478</v>
      </c>
    </row>
    <row r="5" spans="1:11" ht="30" customHeight="1">
      <c r="A5" s="14" t="s">
        <v>11</v>
      </c>
      <c r="B5" s="14" t="s">
        <v>54</v>
      </c>
      <c r="C5" s="14" t="s">
        <v>376</v>
      </c>
      <c r="D5" s="14" t="s">
        <v>212</v>
      </c>
      <c r="E5" s="14" t="s">
        <v>377</v>
      </c>
      <c r="F5" s="14" t="s">
        <v>211</v>
      </c>
      <c r="G5" s="14" t="s">
        <v>153</v>
      </c>
      <c r="H5" s="14" t="s">
        <v>145</v>
      </c>
      <c r="I5" s="14" t="s">
        <v>213</v>
      </c>
      <c r="J5" s="14" t="s">
        <v>479</v>
      </c>
      <c r="K5" s="14">
        <v>2</v>
      </c>
    </row>
    <row r="6" spans="1:11" ht="30" customHeight="1">
      <c r="A6" s="11" t="s">
        <v>11</v>
      </c>
      <c r="B6" s="11" t="s">
        <v>41</v>
      </c>
      <c r="C6" s="11" t="s">
        <v>378</v>
      </c>
      <c r="D6" s="11" t="s">
        <v>217</v>
      </c>
      <c r="E6" s="11" t="s">
        <v>377</v>
      </c>
      <c r="F6" s="11" t="s">
        <v>216</v>
      </c>
      <c r="G6" s="11" t="s">
        <v>218</v>
      </c>
      <c r="H6" s="11" t="s">
        <v>213</v>
      </c>
      <c r="I6" s="11" t="s">
        <v>213</v>
      </c>
      <c r="J6" s="11" t="s">
        <v>479</v>
      </c>
      <c r="K6" s="11">
        <v>3</v>
      </c>
    </row>
    <row r="7" spans="1:11" ht="30" customHeight="1">
      <c r="A7" s="14" t="s">
        <v>11</v>
      </c>
      <c r="B7" s="14" t="s">
        <v>37</v>
      </c>
      <c r="C7" s="14" t="s">
        <v>379</v>
      </c>
      <c r="D7" s="14" t="s">
        <v>380</v>
      </c>
      <c r="E7" s="14" t="s">
        <v>381</v>
      </c>
      <c r="F7" s="14" t="s">
        <v>382</v>
      </c>
      <c r="G7" s="14" t="s">
        <v>222</v>
      </c>
      <c r="H7" s="14" t="s">
        <v>223</v>
      </c>
      <c r="I7" s="14" t="s">
        <v>157</v>
      </c>
      <c r="J7" s="14" t="s">
        <v>479</v>
      </c>
      <c r="K7" s="14">
        <v>4</v>
      </c>
    </row>
    <row r="8" spans="1:11" ht="30" customHeight="1">
      <c r="A8" s="11" t="s">
        <v>11</v>
      </c>
      <c r="B8" s="11" t="s">
        <v>35</v>
      </c>
      <c r="C8" s="11" t="s">
        <v>383</v>
      </c>
      <c r="D8" s="11" t="s">
        <v>227</v>
      </c>
      <c r="E8" s="11" t="s">
        <v>384</v>
      </c>
      <c r="F8" s="11" t="s">
        <v>226</v>
      </c>
      <c r="G8" s="11" t="s">
        <v>228</v>
      </c>
      <c r="H8" s="11" t="s">
        <v>229</v>
      </c>
      <c r="I8" s="11" t="s">
        <v>161</v>
      </c>
      <c r="J8" s="11" t="s">
        <v>479</v>
      </c>
      <c r="K8" s="11">
        <v>5</v>
      </c>
    </row>
    <row r="9" spans="1:11" ht="30" customHeight="1">
      <c r="A9" s="14" t="s">
        <v>12</v>
      </c>
      <c r="B9" s="14" t="s">
        <v>37</v>
      </c>
      <c r="C9" s="14" t="s">
        <v>387</v>
      </c>
      <c r="D9" s="14" t="s">
        <v>388</v>
      </c>
      <c r="E9" s="14" t="s">
        <v>389</v>
      </c>
      <c r="F9" s="14" t="s">
        <v>390</v>
      </c>
      <c r="G9" s="14" t="s">
        <v>391</v>
      </c>
      <c r="H9" s="14" t="s">
        <v>242</v>
      </c>
      <c r="I9" s="14" t="s">
        <v>243</v>
      </c>
      <c r="J9" s="14" t="s">
        <v>480</v>
      </c>
      <c r="K9" s="14">
        <v>2</v>
      </c>
    </row>
    <row r="10" spans="1:11" ht="30" customHeight="1">
      <c r="A10" s="11" t="s">
        <v>12</v>
      </c>
      <c r="B10" s="11" t="s">
        <v>41</v>
      </c>
      <c r="C10" s="11" t="s">
        <v>392</v>
      </c>
      <c r="D10" s="11" t="s">
        <v>393</v>
      </c>
      <c r="E10" s="11" t="s">
        <v>394</v>
      </c>
      <c r="F10" s="11" t="s">
        <v>395</v>
      </c>
      <c r="G10" s="11" t="s">
        <v>252</v>
      </c>
      <c r="H10" s="11" t="s">
        <v>253</v>
      </c>
      <c r="I10" s="11" t="s">
        <v>254</v>
      </c>
      <c r="J10" s="11" t="s">
        <v>480</v>
      </c>
      <c r="K10" s="11">
        <v>3</v>
      </c>
    </row>
    <row r="11" spans="1:11" ht="30" customHeight="1">
      <c r="A11" s="14" t="s">
        <v>12</v>
      </c>
      <c r="B11" s="14" t="s">
        <v>39</v>
      </c>
      <c r="C11" s="14" t="s">
        <v>396</v>
      </c>
      <c r="D11" s="14" t="s">
        <v>260</v>
      </c>
      <c r="E11" s="14" t="s">
        <v>377</v>
      </c>
      <c r="F11" s="14" t="s">
        <v>259</v>
      </c>
      <c r="G11" s="14" t="s">
        <v>157</v>
      </c>
      <c r="H11" s="14" t="s">
        <v>213</v>
      </c>
      <c r="I11" s="14" t="s">
        <v>213</v>
      </c>
      <c r="J11" s="14" t="s">
        <v>480</v>
      </c>
      <c r="K11" s="14">
        <v>4</v>
      </c>
    </row>
    <row r="12" spans="1:11" ht="30" customHeight="1">
      <c r="A12" s="11" t="s">
        <v>12</v>
      </c>
      <c r="B12" s="11" t="s">
        <v>34</v>
      </c>
      <c r="C12" s="11" t="s">
        <v>397</v>
      </c>
      <c r="D12" s="11" t="s">
        <v>398</v>
      </c>
      <c r="E12" s="11" t="s">
        <v>399</v>
      </c>
      <c r="F12" s="11" t="s">
        <v>400</v>
      </c>
      <c r="G12" s="11" t="s">
        <v>401</v>
      </c>
      <c r="H12" s="11" t="s">
        <v>265</v>
      </c>
      <c r="I12" s="11" t="s">
        <v>266</v>
      </c>
      <c r="J12" s="11" t="s">
        <v>480</v>
      </c>
      <c r="K12" s="11">
        <v>5</v>
      </c>
    </row>
    <row r="13" spans="1:11" ht="30" customHeight="1">
      <c r="A13" s="14" t="s">
        <v>12</v>
      </c>
      <c r="B13" s="14" t="s">
        <v>40</v>
      </c>
      <c r="C13" s="14" t="s">
        <v>402</v>
      </c>
      <c r="D13" s="14" t="s">
        <v>403</v>
      </c>
      <c r="E13" s="14" t="s">
        <v>404</v>
      </c>
      <c r="F13" s="14" t="s">
        <v>405</v>
      </c>
      <c r="G13" s="14" t="s">
        <v>272</v>
      </c>
      <c r="H13" s="14" t="s">
        <v>229</v>
      </c>
      <c r="I13" s="14" t="s">
        <v>149</v>
      </c>
      <c r="J13" s="14" t="s">
        <v>480</v>
      </c>
      <c r="K13" s="14">
        <v>6</v>
      </c>
    </row>
    <row r="14" spans="1:11" ht="30" customHeight="1">
      <c r="A14" s="11" t="s">
        <v>12</v>
      </c>
      <c r="B14" s="11" t="s">
        <v>35</v>
      </c>
      <c r="C14" s="11" t="s">
        <v>406</v>
      </c>
      <c r="D14" s="11" t="s">
        <v>377</v>
      </c>
      <c r="E14" s="11" t="s">
        <v>377</v>
      </c>
      <c r="F14" s="11" t="s">
        <v>377</v>
      </c>
      <c r="G14" s="11" t="s">
        <v>377</v>
      </c>
      <c r="H14" s="11" t="s">
        <v>377</v>
      </c>
      <c r="I14" s="11" t="s">
        <v>377</v>
      </c>
      <c r="J14" s="11" t="s">
        <v>480</v>
      </c>
      <c r="K14" s="11">
        <v>7</v>
      </c>
    </row>
    <row r="15" spans="1:11" ht="30" customHeight="1">
      <c r="A15" s="14" t="s">
        <v>13</v>
      </c>
      <c r="B15" s="14" t="s">
        <v>37</v>
      </c>
      <c r="C15" s="14" t="s">
        <v>409</v>
      </c>
      <c r="D15" s="14" t="s">
        <v>410</v>
      </c>
      <c r="E15" s="14" t="s">
        <v>411</v>
      </c>
      <c r="F15" s="14" t="s">
        <v>412</v>
      </c>
      <c r="G15" s="14" t="s">
        <v>413</v>
      </c>
      <c r="H15" s="14" t="s">
        <v>282</v>
      </c>
      <c r="I15" s="14" t="s">
        <v>283</v>
      </c>
      <c r="J15" s="14" t="s">
        <v>481</v>
      </c>
      <c r="K15" s="14">
        <v>2</v>
      </c>
    </row>
    <row r="16" spans="1:11" ht="30" customHeight="1">
      <c r="A16" s="11" t="s">
        <v>13</v>
      </c>
      <c r="B16" s="11" t="s">
        <v>35</v>
      </c>
      <c r="C16" s="11" t="s">
        <v>414</v>
      </c>
      <c r="D16" s="11" t="s">
        <v>415</v>
      </c>
      <c r="E16" s="11" t="s">
        <v>416</v>
      </c>
      <c r="F16" s="11" t="s">
        <v>417</v>
      </c>
      <c r="G16" s="11" t="s">
        <v>290</v>
      </c>
      <c r="H16" s="11" t="s">
        <v>291</v>
      </c>
      <c r="I16" s="11" t="s">
        <v>292</v>
      </c>
      <c r="J16" s="11" t="s">
        <v>481</v>
      </c>
      <c r="K16" s="11">
        <v>3</v>
      </c>
    </row>
    <row r="17" spans="1:11" ht="30" customHeight="1">
      <c r="A17" s="14" t="s">
        <v>13</v>
      </c>
      <c r="B17" s="14" t="s">
        <v>34</v>
      </c>
      <c r="C17" s="14" t="s">
        <v>418</v>
      </c>
      <c r="D17" s="14" t="s">
        <v>419</v>
      </c>
      <c r="E17" s="14" t="s">
        <v>420</v>
      </c>
      <c r="F17" s="14" t="s">
        <v>421</v>
      </c>
      <c r="G17" s="14" t="s">
        <v>422</v>
      </c>
      <c r="H17" s="14" t="s">
        <v>300</v>
      </c>
      <c r="I17" s="14" t="s">
        <v>301</v>
      </c>
      <c r="J17" s="14" t="s">
        <v>481</v>
      </c>
      <c r="K17" s="14">
        <v>4</v>
      </c>
    </row>
    <row r="18" spans="1:11" ht="30" customHeight="1">
      <c r="A18" s="11" t="s">
        <v>13</v>
      </c>
      <c r="B18" s="11" t="s">
        <v>41</v>
      </c>
      <c r="C18" s="11" t="s">
        <v>423</v>
      </c>
      <c r="D18" s="11" t="s">
        <v>424</v>
      </c>
      <c r="E18" s="11" t="s">
        <v>425</v>
      </c>
      <c r="F18" s="11" t="s">
        <v>426</v>
      </c>
      <c r="G18" s="11" t="s">
        <v>309</v>
      </c>
      <c r="H18" s="11" t="s">
        <v>310</v>
      </c>
      <c r="I18" s="11" t="s">
        <v>229</v>
      </c>
      <c r="J18" s="11" t="s">
        <v>481</v>
      </c>
      <c r="K18" s="11">
        <v>5</v>
      </c>
    </row>
    <row r="19" spans="1:11" ht="30" customHeight="1">
      <c r="A19" s="14" t="s">
        <v>13</v>
      </c>
      <c r="B19" s="14" t="s">
        <v>36</v>
      </c>
      <c r="C19" s="14" t="s">
        <v>427</v>
      </c>
      <c r="D19" s="14" t="s">
        <v>428</v>
      </c>
      <c r="E19" s="14" t="s">
        <v>429</v>
      </c>
      <c r="F19" s="14" t="s">
        <v>430</v>
      </c>
      <c r="G19" s="14" t="s">
        <v>318</v>
      </c>
      <c r="H19" s="14" t="s">
        <v>319</v>
      </c>
      <c r="I19" s="14" t="s">
        <v>254</v>
      </c>
      <c r="J19" s="14" t="s">
        <v>481</v>
      </c>
      <c r="K19" s="14">
        <v>6</v>
      </c>
    </row>
    <row r="20" spans="1:11" ht="30" customHeight="1">
      <c r="A20" s="11" t="s">
        <v>13</v>
      </c>
      <c r="B20" s="11" t="s">
        <v>38</v>
      </c>
      <c r="C20" s="11" t="s">
        <v>431</v>
      </c>
      <c r="D20" s="11" t="s">
        <v>432</v>
      </c>
      <c r="E20" s="11" t="s">
        <v>433</v>
      </c>
      <c r="F20" s="11" t="s">
        <v>434</v>
      </c>
      <c r="G20" s="11" t="s">
        <v>326</v>
      </c>
      <c r="H20" s="11" t="s">
        <v>223</v>
      </c>
      <c r="I20" s="11" t="s">
        <v>161</v>
      </c>
      <c r="J20" s="11" t="s">
        <v>481</v>
      </c>
      <c r="K20" s="11">
        <v>7</v>
      </c>
    </row>
    <row r="21" spans="1:11" ht="30" customHeight="1">
      <c r="A21" s="14" t="s">
        <v>185</v>
      </c>
      <c r="B21" s="14" t="s">
        <v>37</v>
      </c>
      <c r="C21" s="14" t="s">
        <v>437</v>
      </c>
      <c r="D21" s="14" t="s">
        <v>438</v>
      </c>
      <c r="E21" s="14" t="s">
        <v>439</v>
      </c>
      <c r="F21" s="14" t="s">
        <v>440</v>
      </c>
      <c r="G21" s="14" t="s">
        <v>441</v>
      </c>
      <c r="H21" s="14" t="s">
        <v>442</v>
      </c>
      <c r="I21" s="14" t="s">
        <v>161</v>
      </c>
      <c r="J21" s="14" t="s">
        <v>482</v>
      </c>
      <c r="K21" s="14">
        <v>2</v>
      </c>
    </row>
    <row r="22" spans="1:11" ht="30" customHeight="1">
      <c r="A22" s="11" t="s">
        <v>185</v>
      </c>
      <c r="B22" s="11" t="s">
        <v>36</v>
      </c>
      <c r="C22" s="11" t="s">
        <v>443</v>
      </c>
      <c r="D22" s="11" t="s">
        <v>444</v>
      </c>
      <c r="E22" s="11" t="s">
        <v>445</v>
      </c>
      <c r="F22" s="11" t="s">
        <v>446</v>
      </c>
      <c r="G22" s="11" t="s">
        <v>447</v>
      </c>
      <c r="H22" s="11" t="s">
        <v>223</v>
      </c>
      <c r="I22" s="11" t="s">
        <v>448</v>
      </c>
      <c r="J22" s="11" t="s">
        <v>482</v>
      </c>
      <c r="K22" s="11">
        <v>3</v>
      </c>
    </row>
    <row r="23" spans="1:11" ht="30" customHeight="1">
      <c r="A23" s="14" t="s">
        <v>185</v>
      </c>
      <c r="B23" s="14" t="s">
        <v>35</v>
      </c>
      <c r="C23" s="14" t="s">
        <v>449</v>
      </c>
      <c r="D23" s="14" t="s">
        <v>450</v>
      </c>
      <c r="E23" s="14" t="s">
        <v>451</v>
      </c>
      <c r="F23" s="14" t="s">
        <v>452</v>
      </c>
      <c r="G23" s="14" t="s">
        <v>453</v>
      </c>
      <c r="H23" s="14" t="s">
        <v>454</v>
      </c>
      <c r="I23" s="14" t="s">
        <v>157</v>
      </c>
      <c r="J23" s="14" t="s">
        <v>482</v>
      </c>
      <c r="K23" s="14">
        <v>4</v>
      </c>
    </row>
    <row r="24" spans="1:11" ht="30" customHeight="1">
      <c r="A24" s="11" t="s">
        <v>185</v>
      </c>
      <c r="B24" s="11" t="s">
        <v>38</v>
      </c>
      <c r="C24" s="11" t="s">
        <v>455</v>
      </c>
      <c r="D24" s="11" t="s">
        <v>456</v>
      </c>
      <c r="E24" s="11" t="s">
        <v>457</v>
      </c>
      <c r="F24" s="11" t="s">
        <v>458</v>
      </c>
      <c r="G24" s="11" t="s">
        <v>459</v>
      </c>
      <c r="H24" s="11" t="s">
        <v>460</v>
      </c>
      <c r="I24" s="11" t="s">
        <v>157</v>
      </c>
      <c r="J24" s="11" t="s">
        <v>482</v>
      </c>
      <c r="K24" s="11">
        <v>5</v>
      </c>
    </row>
    <row r="25" spans="1:11" ht="30" customHeight="1">
      <c r="A25" s="14" t="s">
        <v>185</v>
      </c>
      <c r="B25" s="14" t="s">
        <v>34</v>
      </c>
      <c r="C25" s="14" t="s">
        <v>461</v>
      </c>
      <c r="D25" s="14" t="s">
        <v>462</v>
      </c>
      <c r="E25" s="14" t="s">
        <v>463</v>
      </c>
      <c r="F25" s="14" t="s">
        <v>464</v>
      </c>
      <c r="G25" s="14" t="s">
        <v>465</v>
      </c>
      <c r="H25" s="14" t="s">
        <v>466</v>
      </c>
      <c r="I25" s="14" t="s">
        <v>467</v>
      </c>
      <c r="J25" s="14" t="s">
        <v>482</v>
      </c>
      <c r="K25" s="14">
        <v>6</v>
      </c>
    </row>
    <row r="26" spans="1:11" ht="30" customHeight="1">
      <c r="A26" s="11" t="s">
        <v>185</v>
      </c>
      <c r="B26" s="11" t="s">
        <v>41</v>
      </c>
      <c r="C26" s="11" t="s">
        <v>468</v>
      </c>
      <c r="D26" s="11" t="s">
        <v>469</v>
      </c>
      <c r="E26" s="11" t="s">
        <v>470</v>
      </c>
      <c r="F26" s="11" t="s">
        <v>471</v>
      </c>
      <c r="G26" s="11" t="s">
        <v>472</v>
      </c>
      <c r="H26" s="11" t="s">
        <v>473</v>
      </c>
      <c r="I26" s="11" t="s">
        <v>474</v>
      </c>
      <c r="J26" s="11" t="s">
        <v>482</v>
      </c>
      <c r="K26" s="11">
        <v>7</v>
      </c>
    </row>
  </sheetData>
  <autoFilter ref="A4:K26"/>
  <mergeCells count="2">
    <mergeCell ref="A1:K1"/>
    <mergeCell ref="A2:K2"/>
  </mergeCells>
  <pageMargins left="0.7" right="0.7" top="0.75" bottom="0.75" header="0.3" footer="0.3"/>
  <pageSetup fitToHeight="0" orientation="landscape"/>
</worksheet>
</file>

<file path=xl/worksheets/sheet23.xml><?xml version="1.0" encoding="utf-8"?>
<worksheet xmlns="http://schemas.openxmlformats.org/spreadsheetml/2006/main" xmlns:r="http://schemas.openxmlformats.org/officeDocument/2006/relationships">
  <sheetPr>
    <pageSetUpPr fitToPage="1"/>
  </sheetPr>
  <dimension ref="A1:G1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7" width="24.7109375" customWidth="1"/>
  </cols>
  <sheetData>
    <row r="1" spans="1:7" ht="32" customHeight="1">
      <c r="A1" s="1" t="s">
        <v>541</v>
      </c>
      <c r="B1" s="1"/>
      <c r="C1" s="1"/>
      <c r="D1" s="1"/>
      <c r="E1" s="1"/>
      <c r="F1" s="1"/>
      <c r="G1" s="1"/>
    </row>
    <row r="2" spans="1:7" ht="34" customHeight="1">
      <c r="A2" s="3" t="s">
        <v>542</v>
      </c>
      <c r="B2" s="3"/>
      <c r="C2" s="3"/>
      <c r="D2" s="3"/>
      <c r="E2" s="3"/>
      <c r="F2" s="3"/>
      <c r="G2" s="3"/>
    </row>
    <row r="3" spans="1:7" ht="30" customHeight="1">
      <c r="A3" s="3"/>
      <c r="B3" s="3"/>
      <c r="C3" s="3"/>
      <c r="D3" s="3"/>
      <c r="E3" s="3"/>
      <c r="F3" s="3"/>
      <c r="G3" s="3"/>
    </row>
    <row r="5" spans="1:7" ht="38" customHeight="1">
      <c r="A5" s="10" t="s">
        <v>30</v>
      </c>
      <c r="B5" s="10" t="s">
        <v>132</v>
      </c>
      <c r="C5" s="10" t="s">
        <v>87</v>
      </c>
      <c r="D5" s="10" t="s">
        <v>543</v>
      </c>
      <c r="E5" s="10" t="s">
        <v>544</v>
      </c>
      <c r="F5" s="10" t="s">
        <v>545</v>
      </c>
      <c r="G5" s="10" t="s">
        <v>546</v>
      </c>
    </row>
    <row r="6" spans="1:7" ht="32" customHeight="1">
      <c r="A6" t="s">
        <v>37</v>
      </c>
      <c r="B6" s="16">
        <v>28491.25</v>
      </c>
      <c r="C6" s="6">
        <v>27</v>
      </c>
      <c r="D6" s="16">
        <v>16239.13</v>
      </c>
      <c r="E6" s="16">
        <f>C6*D6</f>
        <v>438456.50999999995</v>
      </c>
      <c r="F6">
        <v>21</v>
      </c>
      <c r="G6" t="s">
        <v>547</v>
      </c>
    </row>
    <row r="7" spans="1:7" ht="32" customHeight="1">
      <c r="A7" t="s">
        <v>35</v>
      </c>
      <c r="B7" s="16">
        <v>28485.14</v>
      </c>
      <c r="C7" s="6">
        <v>14</v>
      </c>
      <c r="D7" s="16">
        <v>13927.62</v>
      </c>
      <c r="E7" s="16">
        <f>C7*D7</f>
        <v>194986.68000000002</v>
      </c>
      <c r="F7">
        <v>22</v>
      </c>
      <c r="G7" t="s">
        <v>547</v>
      </c>
    </row>
    <row r="8" spans="1:7" ht="32" customHeight="1">
      <c r="A8" t="s">
        <v>34</v>
      </c>
      <c r="B8" s="16">
        <v>28500.64</v>
      </c>
      <c r="C8" s="6">
        <v>119</v>
      </c>
      <c r="D8" s="16">
        <v>18399.74</v>
      </c>
      <c r="E8" s="16">
        <f>C8*D8</f>
        <v>2189569.06</v>
      </c>
      <c r="F8">
        <v>23</v>
      </c>
      <c r="G8" t="s">
        <v>547</v>
      </c>
    </row>
    <row r="9" spans="1:7" ht="32" customHeight="1">
      <c r="A9" t="s">
        <v>41</v>
      </c>
      <c r="B9" s="16">
        <v>15200.15</v>
      </c>
      <c r="C9" s="6">
        <v>10</v>
      </c>
      <c r="D9" s="16">
        <v>18331.91</v>
      </c>
      <c r="E9" s="16">
        <f>C9*D9</f>
        <v>183319.1</v>
      </c>
      <c r="F9">
        <v>24</v>
      </c>
      <c r="G9" t="s">
        <v>547</v>
      </c>
    </row>
    <row r="10" spans="1:7" ht="32" customHeight="1">
      <c r="A10" t="s">
        <v>36</v>
      </c>
      <c r="B10" s="16">
        <v>10347.32</v>
      </c>
      <c r="C10" s="6">
        <v>13</v>
      </c>
      <c r="D10" s="16">
        <v>18320.07</v>
      </c>
      <c r="E10" s="16">
        <f>C10*D10</f>
        <v>238160.91</v>
      </c>
      <c r="F10">
        <v>25</v>
      </c>
      <c r="G10" t="s">
        <v>547</v>
      </c>
    </row>
    <row r="11" spans="1:7" ht="32" customHeight="1">
      <c r="A11" t="s">
        <v>38</v>
      </c>
      <c r="B11" s="16">
        <v>8094.7</v>
      </c>
      <c r="C11" s="6">
        <v>5</v>
      </c>
      <c r="D11" t="s">
        <v>549</v>
      </c>
      <c r="E11" t="s">
        <v>550</v>
      </c>
      <c r="F11">
        <v>26</v>
      </c>
      <c r="G11" t="s">
        <v>548</v>
      </c>
    </row>
    <row r="12" spans="1:7">
      <c r="A12" s="4" t="s">
        <v>551</v>
      </c>
      <c r="E12" s="16">
        <f>SUM(E6:E11)</f>
        <v>3244492.2600000002</v>
      </c>
    </row>
    <row r="14" spans="1:7">
      <c r="A14" s="18" t="s">
        <v>552</v>
      </c>
      <c r="B14" s="18"/>
      <c r="C14" s="18"/>
      <c r="D14" s="18"/>
      <c r="E14" s="18"/>
      <c r="F14" s="18"/>
      <c r="G14" s="18"/>
    </row>
    <row r="15" spans="1:7">
      <c r="A15" s="18"/>
      <c r="B15" s="18"/>
      <c r="C15" s="18"/>
      <c r="D15" s="18"/>
      <c r="E15" s="18"/>
      <c r="F15" s="18"/>
      <c r="G15" s="18"/>
    </row>
    <row r="17" spans="1:7">
      <c r="A17" s="18" t="s">
        <v>553</v>
      </c>
      <c r="B17" s="18"/>
      <c r="C17" s="18"/>
      <c r="D17" s="18"/>
      <c r="E17" s="18"/>
      <c r="F17" s="18"/>
      <c r="G17" s="18"/>
    </row>
    <row r="18" spans="1:7">
      <c r="A18" s="18"/>
      <c r="B18" s="18"/>
      <c r="C18" s="18"/>
      <c r="D18" s="18"/>
      <c r="E18" s="18"/>
      <c r="F18" s="18"/>
      <c r="G18" s="18"/>
    </row>
  </sheetData>
  <mergeCells count="4">
    <mergeCell ref="A1:G1"/>
    <mergeCell ref="A2:G3"/>
    <mergeCell ref="A14:G15"/>
    <mergeCell ref="A17:G18"/>
  </mergeCells>
  <pageMargins left="0.7" right="0.7" top="0.75" bottom="0.75" header="0.3" footer="0.3"/>
  <pageSetup fitToHeight="0" orientation="landscape"/>
</worksheet>
</file>

<file path=xl/worksheets/sheet24.xml><?xml version="1.0" encoding="utf-8"?>
<worksheet xmlns="http://schemas.openxmlformats.org/spreadsheetml/2006/main" xmlns:r="http://schemas.openxmlformats.org/officeDocument/2006/relationships">
  <sheetPr>
    <pageSetUpPr fitToPage="1"/>
  </sheetPr>
  <dimension ref="A1:L13"/>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2" width="24.7109375" customWidth="1"/>
  </cols>
  <sheetData>
    <row r="1" spans="1:12">
      <c r="A1" s="18" t="s">
        <v>557</v>
      </c>
      <c r="B1" s="18"/>
      <c r="C1" s="18"/>
      <c r="D1" s="18"/>
      <c r="E1" s="18"/>
      <c r="F1" s="18"/>
      <c r="G1" s="18"/>
      <c r="H1" s="18"/>
      <c r="I1" s="18"/>
      <c r="J1" s="18"/>
      <c r="K1" s="18"/>
      <c r="L1" s="18"/>
    </row>
    <row r="2" spans="1:12">
      <c r="A2" s="18"/>
      <c r="B2" s="18"/>
      <c r="C2" s="18"/>
      <c r="D2" s="18"/>
      <c r="E2" s="18"/>
      <c r="F2" s="18"/>
      <c r="G2" s="18"/>
      <c r="H2" s="18"/>
      <c r="I2" s="18"/>
      <c r="J2" s="18"/>
      <c r="K2" s="18"/>
      <c r="L2" s="18"/>
    </row>
    <row r="3" spans="1:12">
      <c r="A3" s="10" t="s">
        <v>124</v>
      </c>
      <c r="B3" s="10" t="s">
        <v>558</v>
      </c>
      <c r="C3" s="10" t="s">
        <v>559</v>
      </c>
      <c r="D3" s="10" t="s">
        <v>560</v>
      </c>
      <c r="E3" s="10" t="s">
        <v>561</v>
      </c>
      <c r="F3" s="10" t="s">
        <v>562</v>
      </c>
      <c r="G3" s="10" t="s">
        <v>19</v>
      </c>
      <c r="H3" s="10" t="s">
        <v>563</v>
      </c>
      <c r="I3" s="10" t="s">
        <v>564</v>
      </c>
      <c r="J3" s="10" t="s">
        <v>61</v>
      </c>
      <c r="K3" s="10" t="s">
        <v>87</v>
      </c>
      <c r="L3" s="10" t="s">
        <v>565</v>
      </c>
    </row>
    <row r="4" spans="1:12">
      <c r="A4" s="18" t="s">
        <v>566</v>
      </c>
      <c r="B4" s="18" t="s">
        <v>567</v>
      </c>
      <c r="C4" s="18" t="s">
        <v>568</v>
      </c>
      <c r="D4" s="18" t="s">
        <v>568</v>
      </c>
      <c r="E4" s="18" t="s">
        <v>569</v>
      </c>
      <c r="F4" s="18" t="s">
        <v>570</v>
      </c>
      <c r="G4" s="18" t="s">
        <v>571</v>
      </c>
      <c r="H4" s="18" t="s">
        <v>572</v>
      </c>
      <c r="I4" s="18" t="s">
        <v>573</v>
      </c>
      <c r="J4" s="18" t="s">
        <v>574</v>
      </c>
      <c r="K4" s="18" t="s">
        <v>575</v>
      </c>
      <c r="L4" s="18" t="s">
        <v>576</v>
      </c>
    </row>
    <row r="5" spans="1:12">
      <c r="A5" s="18" t="s">
        <v>329</v>
      </c>
      <c r="B5" s="18" t="s">
        <v>577</v>
      </c>
      <c r="C5" s="18" t="s">
        <v>578</v>
      </c>
      <c r="D5" s="18" t="s">
        <v>579</v>
      </c>
      <c r="E5" s="18" t="s">
        <v>580</v>
      </c>
      <c r="F5" s="18" t="s">
        <v>581</v>
      </c>
      <c r="G5" s="18" t="s">
        <v>582</v>
      </c>
      <c r="H5" s="18" t="s">
        <v>583</v>
      </c>
      <c r="I5" s="18" t="s">
        <v>584</v>
      </c>
      <c r="J5" s="18" t="s">
        <v>585</v>
      </c>
      <c r="K5" s="18" t="s">
        <v>586</v>
      </c>
      <c r="L5" s="18" t="s">
        <v>587</v>
      </c>
    </row>
    <row r="6" spans="1:12">
      <c r="A6" s="18" t="s">
        <v>502</v>
      </c>
      <c r="B6" s="18" t="s">
        <v>588</v>
      </c>
      <c r="C6" s="18" t="s">
        <v>589</v>
      </c>
      <c r="D6" s="18" t="s">
        <v>590</v>
      </c>
      <c r="E6" s="18" t="s">
        <v>591</v>
      </c>
      <c r="F6" s="18" t="s">
        <v>592</v>
      </c>
      <c r="G6" s="18" t="s">
        <v>593</v>
      </c>
      <c r="H6" s="18" t="s">
        <v>594</v>
      </c>
      <c r="I6" s="18" t="s">
        <v>595</v>
      </c>
      <c r="J6" s="18" t="s">
        <v>596</v>
      </c>
      <c r="K6" s="18" t="s">
        <v>597</v>
      </c>
      <c r="L6" s="18" t="s">
        <v>598</v>
      </c>
    </row>
    <row r="7" spans="1:12">
      <c r="A7" s="18" t="s">
        <v>503</v>
      </c>
      <c r="B7" s="18" t="s">
        <v>599</v>
      </c>
      <c r="C7" s="18" t="s">
        <v>600</v>
      </c>
      <c r="D7" s="18" t="s">
        <v>601</v>
      </c>
      <c r="E7" s="18" t="s">
        <v>580</v>
      </c>
      <c r="F7" s="18" t="s">
        <v>602</v>
      </c>
      <c r="G7" s="18" t="s">
        <v>603</v>
      </c>
      <c r="H7" s="18" t="s">
        <v>604</v>
      </c>
      <c r="I7" s="18" t="s">
        <v>605</v>
      </c>
      <c r="J7" s="18" t="s">
        <v>606</v>
      </c>
      <c r="K7" s="18" t="s">
        <v>607</v>
      </c>
      <c r="L7" s="18" t="s">
        <v>608</v>
      </c>
    </row>
    <row r="8" spans="1:12">
      <c r="A8" s="18" t="s">
        <v>504</v>
      </c>
      <c r="B8" s="18" t="s">
        <v>609</v>
      </c>
      <c r="C8" s="18" t="s">
        <v>610</v>
      </c>
      <c r="D8" s="18" t="s">
        <v>611</v>
      </c>
      <c r="E8" s="18" t="s">
        <v>591</v>
      </c>
      <c r="F8" s="18" t="s">
        <v>612</v>
      </c>
      <c r="G8" s="18" t="s">
        <v>613</v>
      </c>
      <c r="H8" s="18" t="s">
        <v>614</v>
      </c>
      <c r="I8" s="18" t="s">
        <v>615</v>
      </c>
      <c r="J8" s="18" t="s">
        <v>616</v>
      </c>
      <c r="K8" s="18" t="s">
        <v>617</v>
      </c>
      <c r="L8" s="18" t="s">
        <v>618</v>
      </c>
    </row>
    <row r="9" spans="1:12">
      <c r="A9" s="18"/>
      <c r="B9" s="18"/>
      <c r="C9" s="18"/>
      <c r="D9" s="18"/>
      <c r="E9" s="18"/>
      <c r="F9" s="18"/>
      <c r="G9" s="18"/>
      <c r="H9" s="18"/>
      <c r="I9" s="18"/>
      <c r="J9" s="18"/>
      <c r="K9" s="18"/>
      <c r="L9" s="18"/>
    </row>
    <row r="10" spans="1:12">
      <c r="A10" s="18"/>
      <c r="B10" s="18"/>
      <c r="C10" s="18"/>
      <c r="D10" s="18"/>
      <c r="E10" s="18"/>
      <c r="F10" s="18"/>
      <c r="G10" s="18"/>
      <c r="H10" s="18"/>
      <c r="I10" s="18"/>
      <c r="J10" s="18"/>
      <c r="K10" s="18"/>
      <c r="L10" s="18"/>
    </row>
    <row r="11" spans="1:12">
      <c r="A11" s="18" t="s">
        <v>619</v>
      </c>
      <c r="B11" s="18"/>
      <c r="C11" s="18"/>
      <c r="D11" s="18"/>
      <c r="E11" s="18"/>
      <c r="F11" s="18"/>
      <c r="G11" s="18"/>
      <c r="H11" s="18"/>
      <c r="I11" s="18"/>
      <c r="J11" s="18"/>
      <c r="K11" s="18"/>
      <c r="L11" s="18"/>
    </row>
    <row r="13" spans="1:12" ht="100" customHeight="1"/>
  </sheetData>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Executive Summary</vt:lpstr>
      <vt:lpstr>Aug Dec Forecast</vt:lpstr>
      <vt:lpstr>Monthly Summary</vt:lpstr>
      <vt:lpstr>September MTD</vt:lpstr>
      <vt:lpstr>Sep Dec Forecast</vt:lpstr>
      <vt:lpstr>Daily Budget Schedule</vt:lpstr>
      <vt:lpstr>Campaign Comparison</vt:lpstr>
      <vt:lpstr>September Campaigns</vt:lpstr>
      <vt:lpstr>September Forecast</vt:lpstr>
      <vt:lpstr>Campaign Breakdown</vt:lpstr>
      <vt:lpstr>July August Drivers</vt:lpstr>
      <vt:lpstr>Actions</vt:lpstr>
      <vt:lpstr>Data Quality</vt:lpstr>
      <vt:lpstr>Methodology</vt:lpstr>
      <vt:lpstr>Source CSV</vt:lpstr>
      <vt:lpstr>Prior Sep Forecast</vt:lpstr>
      <vt:lpstr>Charts Data</vt:lpstr>
      <vt:lpstr>Raw June</vt:lpstr>
      <vt:lpstr>Raw July</vt:lpstr>
      <vt:lpstr>Raw August</vt:lpstr>
      <vt:lpstr>Raw September</vt:lpstr>
      <vt:lpstr>Raw Data</vt:lpstr>
      <vt:lpstr>August Sales Basis</vt:lpstr>
      <vt:lpstr>Updated Summary Source</vt:lpstr>
      <vt:lpstr>'Executive Summary'!Print_Area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2026-09-09T08:24:55Z</dcterms:created>
  <dcterms:modified xsi:type="dcterms:W3CDTF">2026-09-09T08:24:55Z</dcterms:modified>
</cp:coreProperties>
</file>