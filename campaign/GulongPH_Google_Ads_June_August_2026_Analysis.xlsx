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Monthly Summary" sheetId="2" r:id="rId2"/>
    <sheet name="Campaign Breakdown" sheetId="3" r:id="rId3"/>
    <sheet name="July August Drivers" sheetId="4" r:id="rId4"/>
    <sheet name="Actions" sheetId="5" r:id="rId5"/>
    <sheet name="Data Quality" sheetId="6" r:id="rId6"/>
    <sheet name="Methodology" sheetId="7" r:id="rId7"/>
    <sheet name="Raw Data" sheetId="8" r:id="rId8"/>
    <sheet name="Source CSV" sheetId="9" r:id="rId9"/>
    <sheet name="Charts Data" sheetId="10" r:id="rId10"/>
    <sheet name="September Forecast" sheetId="11" r:id="rId11"/>
  </sheets>
  <definedNames>
    <definedName name="_xlnm._FilterDatabase" localSheetId="2" hidden="1">'Campaign Breakdown'!$A$1:$P$17</definedName>
    <definedName name="_xlnm._FilterDatabase" localSheetId="7" hidden="1">'Raw Data'!$A$1:$L$17</definedName>
    <definedName name="_xlnm.Print_Area" localSheetId="0">'Executive Dashboard'!$A$1:$O$72</definedName>
  </definedNames>
  <calcPr calcId="124519" fullCalcOnLoad="1"/>
</workbook>
</file>

<file path=xl/sharedStrings.xml><?xml version="1.0" encoding="utf-8"?>
<sst xmlns="http://schemas.openxmlformats.org/spreadsheetml/2006/main" count="594" uniqueCount="319">
  <si>
    <t>GulongPH | Google Ads Performance</t>
  </si>
  <si>
    <t>June–August 2026 • reported campaign results • PHP</t>
  </si>
  <si>
    <t>Total spend</t>
  </si>
  <si>
    <t>Recorded purchases</t>
  </si>
  <si>
    <t>Blended CPA</t>
  </si>
  <si>
    <t>Overall result</t>
  </si>
  <si>
    <t>June–August spend was ₱275,787.44, with 264 recorded purchases; blended CPA was ₱1,044.65.</t>
  </si>
  <si>
    <t>August growth</t>
  </si>
  <si>
    <t>August purchases rose 180.6% (67 → 188) on 25.3% more spend. CPA fell 55.3% to ₱633.61.</t>
  </si>
  <si>
    <t>Main purchase driver</t>
  </si>
  <si>
    <t>Michelin PMax delivered 119 August purchases, 63.3% of total, on 23.9% of spend; CPA was ₱239.50. Its +85 purchases explain 70.2% of the net July–August increase.</t>
  </si>
  <si>
    <t>Traffic quality signal</t>
  </si>
  <si>
    <t>August sessions grew 708.1%, but purchases/session fell from 0.348% to 0.121%. Lower cost/session still allowed blended CPA to improve; traffic volume alone overstates purchase progress.</t>
  </si>
  <si>
    <t>BFG efficiency gap</t>
  </si>
  <si>
    <t>BFG Advantage Touring PMax used 23.9% of August spend for 7.4% of purchases. Its ₱2,034.65 CPA was 8.5× Michelin PMax CPA; purchase/session was 0.024%.</t>
  </si>
  <si>
    <t>Search tracking review</t>
  </si>
  <si>
    <t>SRC Michelin spent ₱20,054.15 in July with 69 sessions and zero purchases. Across the quarter, campaigns with observed zero purchases consumed ₱58,241.83 (21.1% of spend). Check tagging, landing pages and attribution.</t>
  </si>
  <si>
    <t>Funnel signal</t>
  </si>
  <si>
    <t>Aggregate checkout/cart ratio improved from 6.54% in July to 8.32% in August, while cart/session dropped from 20.81% to 5.09%. These are event ratios, not cohort conversion rates.</t>
  </si>
  <si>
    <t>Comparability</t>
  </si>
  <si>
    <t>July–August continuing campaigns (All Brand PMax, SRC All Brands, Michelin PMax) added 91 purchases. Newly observed/resumed campaigns added 32; absent campaigns removed 2, yielding +121 net.</t>
  </si>
  <si>
    <t>Interpretation: purchase efficiency improved, but the large traffic expansion needs validation. Purchases are reported events; revenue and profitability are not established.</t>
  </si>
  <si>
    <t>Metric</t>
  </si>
  <si>
    <t>June</t>
  </si>
  <si>
    <t>July</t>
  </si>
  <si>
    <t>August</t>
  </si>
  <si>
    <t>July vs June</t>
  </si>
  <si>
    <t>August vs July</t>
  </si>
  <si>
    <t>Change basis</t>
  </si>
  <si>
    <t>Spend</t>
  </si>
  <si>
    <t>Relative growth</t>
  </si>
  <si>
    <t>Sessions</t>
  </si>
  <si>
    <t>Campaign users (sum)</t>
  </si>
  <si>
    <t>Add to carts</t>
  </si>
  <si>
    <t>Checkouts</t>
  </si>
  <si>
    <t>CPA</t>
  </si>
  <si>
    <t>Cost / session</t>
  </si>
  <si>
    <t>Purchases / session</t>
  </si>
  <si>
    <t>Percentage points</t>
  </si>
  <si>
    <t>Carts / session</t>
  </si>
  <si>
    <t>Checkouts / cart</t>
  </si>
  <si>
    <t>Purchases / checkout</t>
  </si>
  <si>
    <t>Spend / day</t>
  </si>
  <si>
    <t>Purchases / day</t>
  </si>
  <si>
    <t>Ratios use reported events; campaign user totals are not deduplicated.</t>
  </si>
  <si>
    <t>Ratios use reported events; campaign user totals are not deduplicated. Rate deltas are shown as percentage points (e.g., -0.23% means -0.23 pp).</t>
  </si>
  <si>
    <t>Month</t>
  </si>
  <si>
    <t>Campaign</t>
  </si>
  <si>
    <t>Users (campaign)</t>
  </si>
  <si>
    <t>Purchases</t>
  </si>
  <si>
    <t>Cost/session</t>
  </si>
  <si>
    <t>Purchase/session</t>
  </si>
  <si>
    <t>Cart/session</t>
  </si>
  <si>
    <t>Checkout/cart</t>
  </si>
  <si>
    <t>Purchase/checkout</t>
  </si>
  <si>
    <t>Spend share</t>
  </si>
  <si>
    <t>Purchase share</t>
  </si>
  <si>
    <t>SRC | BFG Advantage Touring | PH</t>
  </si>
  <si>
    <t>N/A</t>
  </si>
  <si>
    <t>SRC | All Brands | PH</t>
  </si>
  <si>
    <t>All Brand - PMax PH</t>
  </si>
  <si>
    <t>BFG Advantage Touring – PMax PH</t>
  </si>
  <si>
    <t>SRC | Michelin | PH</t>
  </si>
  <si>
    <t>Michelin - PMax PH</t>
  </si>
  <si>
    <t>Michelin PE Japan - PMax PH</t>
  </si>
  <si>
    <t>BFG - PMax (Traffic)</t>
  </si>
  <si>
    <t>Gulongph Branding - PMax</t>
  </si>
  <si>
    <t>July spend</t>
  </si>
  <si>
    <t>August spend</t>
  </si>
  <si>
    <t>Spend change</t>
  </si>
  <si>
    <t>July purchases</t>
  </si>
  <si>
    <t>August purchases</t>
  </si>
  <si>
    <t>Purchase change</t>
  </si>
  <si>
    <t>Share of net +121</t>
  </si>
  <si>
    <t>Comparison status</t>
  </si>
  <si>
    <t>Continuing</t>
  </si>
  <si>
    <t>Newly observed / resumed</t>
  </si>
  <si>
    <t>Absent in August</t>
  </si>
  <si>
    <t>Bridge only: absent or missing campaign purchases contribute zero to reported-total differences. This does not establish a campaign launch, closure, or a causal effect.</t>
  </si>
  <si>
    <t>Priority</t>
  </si>
  <si>
    <t>Focus</t>
  </si>
  <si>
    <t>Proposed next step</t>
  </si>
  <si>
    <t>Success check</t>
  </si>
  <si>
    <t>1</t>
  </si>
  <si>
    <t>Validate measurement</t>
  </si>
  <si>
    <t>Audit session growth, campaign tagging, purchase deduplication and attribution consistency before interpreting traffic changes as demand growth.</t>
  </si>
  <si>
    <t>Tracking definitions and purchase events reconcile with source systems.</t>
  </si>
  <si>
    <t>2</t>
  </si>
  <si>
    <t>Prioritize Michelin PMax review</t>
  </si>
  <si>
    <t>It has the strongest observed August purchase CPA. Evaluate controlled budget tests after checking fulfilled-order quality and margins.</t>
  </si>
  <si>
    <t>Monitor incremental purchases, CPA and fulfilled net sales during any test.</t>
  </si>
  <si>
    <t>3</t>
  </si>
  <si>
    <t>Review BFG Advantage Touring</t>
  </si>
  <si>
    <t>High spend share and low purchase share warrant an asset, audience and landing-page review. Compare against BFG Traffic (13 purchases; ₱795.95 CPA).</t>
  </si>
  <si>
    <t>Evaluate comparable conversion quality and CPA after measurement checks.</t>
  </si>
  <si>
    <t>4</t>
  </si>
  <si>
    <t>Investigate SRC Michelin</t>
  </si>
  <si>
    <t>July spend with zero purchases and only 69 sessions warrants a click-to-session and purchase-tracking audit.</t>
  </si>
  <si>
    <t>Explain the traffic discrepancy and determine whether purchases were missed.</t>
  </si>
  <si>
    <t>5</t>
  </si>
  <si>
    <t>Monitor SRC All Brands</t>
  </si>
  <si>
    <t>August purchases fell 13 → 10 as spend fell 37.7%; CPA improved 19.0%, so lower volume alone is not evidence of poorer efficiency.</t>
  </si>
  <si>
    <t>Track both purchase volume and CPA with budget context.</t>
  </si>
  <si>
    <t>Period</t>
  </si>
  <si>
    <t>Check</t>
  </si>
  <si>
    <t>Result</t>
  </si>
  <si>
    <t>Detail</t>
  </si>
  <si>
    <t>Monthly export reconciliation</t>
  </si>
  <si>
    <t>PASS</t>
  </si>
  <si>
    <t>4 campaign rows match all six base metrics</t>
  </si>
  <si>
    <t>Reported total vs campaign spend</t>
  </si>
  <si>
    <t>Row sum ₱61,601.33; reported ₱61,601.33; difference ₱0.00</t>
  </si>
  <si>
    <t>6 campaign rows match all six base metrics</t>
  </si>
  <si>
    <t>DIFFERENCE</t>
  </si>
  <si>
    <t>Row sum ₱95,066.91; reported ₱95,066.89; difference ₱0.02</t>
  </si>
  <si>
    <t>Row sum ₱119,119.20; reported ₱119,119.20; difference ₱0.00</t>
  </si>
  <si>
    <t>All Brand purchase growth</t>
  </si>
  <si>
    <t>RECALCULATED</t>
  </si>
  <si>
    <t>4 → 18 is +350.0%; combined source displays 77.78%.</t>
  </si>
  <si>
    <t>SRC All Brands session growth</t>
  </si>
  <si>
    <t>5,544 → 3,140 is −43.36%; combined source displays +183.01%.</t>
  </si>
  <si>
    <t>Michelin purchase growth</t>
  </si>
  <si>
    <t>34 → 119 is +250.0%; combined source displays 71.43%.</t>
  </si>
  <si>
    <t>Item</t>
  </si>
  <si>
    <t>Definition / limitation</t>
  </si>
  <si>
    <t>Scope: June, July and August 2026 monthly labels; assumed full months (30/31/31 days). Daily records are unavailable to verify coverage.</t>
  </si>
  <si>
    <t>Primary source: combined Google Ads CSV. Separate june.csv, july.csv and august.csv independently reconcile all six base metrics.</t>
  </si>
  <si>
    <t>July campaign costs total ₱95,066.91; the combined sheet reports ₱95,066.89. Analysis uses the campaign-row sum (₱0.02 difference).</t>
  </si>
  <si>
    <t>All growth is (current − previous) / previous. Source % diff columns are not used. Zero or missing baselines produce N/A.</t>
  </si>
  <si>
    <t>CPA = total cost / total recorded purchases, never the average of campaign CPAs. Purchases are reported events, not verified fulfilled orders or unique buyers.</t>
  </si>
  <si>
    <t>Total users are summed campaign-reported users, not deduplicated monthly or quarterly people. Session totals are sums of reported campaign sessions.</t>
  </si>
  <si>
    <t>July BFG Advantage Touring PMax has zero spend and missing activity. Missing raw values stay blank; monthly sums use available values only.</t>
  </si>
  <si>
    <t>Funnel ratios divide aggregate events; they do not track the same users through sequential stages and may include repeated events.</t>
  </si>
  <si>
    <t>No verified attributed revenue, margins, conversion definitions, attribution windows or tracking-change history are supplied. Actual ROAS and profitability cannot be determined.</t>
  </si>
  <si>
    <t>August Average Net Sales exists for five campaigns only and is not defined. It is retained in Raw Data, but not multiplied by purchases or treated as verified revenue.</t>
  </si>
  <si>
    <t>Campaign mix and June/July month lengths differ. Daily rates aid comparison but do not establish campaign causality.</t>
  </si>
  <si>
    <t>Budget notes are source context; several mid-month changes are listed, so current daily budgets are not substitutes for actual monthly spend.</t>
  </si>
  <si>
    <t>cost</t>
  </si>
  <si>
    <t>sessions</t>
  </si>
  <si>
    <t>users</t>
  </si>
  <si>
    <t>carts</t>
  </si>
  <si>
    <t>checkouts</t>
  </si>
  <si>
    <t>purchases</t>
  </si>
  <si>
    <t>Reported CPA</t>
  </si>
  <si>
    <t>Budget note</t>
  </si>
  <si>
    <t>Average Net Sales (undefined)</t>
  </si>
  <si>
    <t>Source CSV line</t>
  </si>
  <si>
    <t>600 &gt; 750 (increase on July 18, 2026)</t>
  </si>
  <si>
    <t>1K &gt; 500 (July 18, 2026)</t>
  </si>
  <si>
    <t>937.5</t>
  </si>
  <si>
    <t>0</t>
  </si>
  <si>
    <t>500</t>
  </si>
  <si>
    <t xml:space="preserve"> 450 (New Campaign)</t>
  </si>
  <si>
    <t>June 2026</t>
  </si>
  <si>
    <t>Cost</t>
  </si>
  <si>
    <t>Total users</t>
  </si>
  <si>
    <t>Purchase</t>
  </si>
  <si>
    <t>cost per purchase</t>
  </si>
  <si>
    <t>budget daily</t>
  </si>
  <si>
    <t>16,187.52</t>
  </si>
  <si>
    <t>44</t>
  </si>
  <si>
    <t>43</t>
  </si>
  <si>
    <t>null</t>
  </si>
  <si>
    <t>22,000.16</t>
  </si>
  <si>
    <t>176</t>
  </si>
  <si>
    <t>164</t>
  </si>
  <si>
    <t>15</t>
  </si>
  <si>
    <t>12,607.29</t>
  </si>
  <si>
    <t>1421</t>
  </si>
  <si>
    <t>1310</t>
  </si>
  <si>
    <t>379</t>
  </si>
  <si>
    <t>26</t>
  </si>
  <si>
    <t>3151.821485</t>
  </si>
  <si>
    <t>10,806.36</t>
  </si>
  <si>
    <t>324</t>
  </si>
  <si>
    <t>296</t>
  </si>
  <si>
    <t>99</t>
  </si>
  <si>
    <t>10</t>
  </si>
  <si>
    <t>2161.272244</t>
  </si>
  <si>
    <t>OVERALL TOTAL</t>
  </si>
  <si>
    <t>61, 601.33</t>
  </si>
  <si>
    <t>JULY</t>
  </si>
  <si>
    <t>Budget Increase</t>
  </si>
  <si>
    <t>% diff</t>
  </si>
  <si>
    <t>250.00</t>
  </si>
  <si>
    <t>22,216.16</t>
  </si>
  <si>
    <t>6105</t>
  </si>
  <si>
    <t>329.63%</t>
  </si>
  <si>
    <t>5603</t>
  </si>
  <si>
    <t>1146</t>
  </si>
  <si>
    <t>86</t>
  </si>
  <si>
    <t>18</t>
  </si>
  <si>
    <t>77.78%</t>
  </si>
  <si>
    <t>1,234.23</t>
  </si>
  <si>
    <t>-500.00</t>
  </si>
  <si>
    <t>24,387.85</t>
  </si>
  <si>
    <t>5544</t>
  </si>
  <si>
    <t>33.6875</t>
  </si>
  <si>
    <t>5086</t>
  </si>
  <si>
    <t>999</t>
  </si>
  <si>
    <t>54</t>
  </si>
  <si>
    <t>13</t>
  </si>
  <si>
    <t>100.00%</t>
  </si>
  <si>
    <t>1,875.99</t>
  </si>
  <si>
    <t>20,054.15</t>
  </si>
  <si>
    <t>69</t>
  </si>
  <si>
    <t>67</t>
  </si>
  <si>
    <t>18,705.37</t>
  </si>
  <si>
    <t>6171</t>
  </si>
  <si>
    <t>5507</t>
  </si>
  <si>
    <t>1659</t>
  </si>
  <si>
    <t>112</t>
  </si>
  <si>
    <t>34</t>
  </si>
  <si>
    <t>550.16</t>
  </si>
  <si>
    <t>0.00</t>
  </si>
  <si>
    <t>9,703.38</t>
  </si>
  <si>
    <t>1366</t>
  </si>
  <si>
    <t>1270</t>
  </si>
  <si>
    <t>199</t>
  </si>
  <si>
    <t>4,851.69</t>
  </si>
  <si>
    <t>95,066.89</t>
  </si>
  <si>
    <t xml:space="preserve">Average Net Sales </t>
  </si>
  <si>
    <t>28,491.25</t>
  </si>
  <si>
    <t>40757</t>
  </si>
  <si>
    <t>567.60%</t>
  </si>
  <si>
    <t>35889</t>
  </si>
  <si>
    <t>1165</t>
  </si>
  <si>
    <t>78</t>
  </si>
  <si>
    <t>27</t>
  </si>
  <si>
    <t>33.33%</t>
  </si>
  <si>
    <t>1,055.23</t>
  </si>
  <si>
    <t>₱16,239.13</t>
  </si>
  <si>
    <t>28,485.14</t>
  </si>
  <si>
    <t>58564</t>
  </si>
  <si>
    <t>50691</t>
  </si>
  <si>
    <t>955</t>
  </si>
  <si>
    <t>71</t>
  </si>
  <si>
    <t>14</t>
  </si>
  <si>
    <t>2,034.65</t>
  </si>
  <si>
    <t>₱13,927.62</t>
  </si>
  <si>
    <t>28,500.64</t>
  </si>
  <si>
    <t>17278</t>
  </si>
  <si>
    <t>179.99%</t>
  </si>
  <si>
    <t>15080</t>
  </si>
  <si>
    <t>3825</t>
  </si>
  <si>
    <t>396</t>
  </si>
  <si>
    <t>119</t>
  </si>
  <si>
    <t>71.43%</t>
  </si>
  <si>
    <t>239.50</t>
  </si>
  <si>
    <t>₱18,399.74</t>
  </si>
  <si>
    <t>15,200.15</t>
  </si>
  <si>
    <t>3140</t>
  </si>
  <si>
    <t>183.01%</t>
  </si>
  <si>
    <t>2816</t>
  </si>
  <si>
    <t>861</t>
  </si>
  <si>
    <t>42</t>
  </si>
  <si>
    <t>-30.00%</t>
  </si>
  <si>
    <t>1,520.01</t>
  </si>
  <si>
    <t>₱18,331.91</t>
  </si>
  <si>
    <t>10,347.32</t>
  </si>
  <si>
    <t>18614</t>
  </si>
  <si>
    <t>16656</t>
  </si>
  <si>
    <t>605</t>
  </si>
  <si>
    <t>46</t>
  </si>
  <si>
    <t>795.95</t>
  </si>
  <si>
    <t>₱18,320.07</t>
  </si>
  <si>
    <t>8,094.70</t>
  </si>
  <si>
    <t>17246</t>
  </si>
  <si>
    <t>15193</t>
  </si>
  <si>
    <t>512</t>
  </si>
  <si>
    <t>1,618.94</t>
  </si>
  <si>
    <t>119,119.20</t>
  </si>
  <si>
    <t>September</t>
  </si>
  <si>
    <t>BFG PMax [New]</t>
  </si>
  <si>
    <t>28,125.00</t>
  </si>
  <si>
    <t>50.00</t>
  </si>
  <si>
    <t xml:space="preserve"> 450 &gt; 500 (increase on sept 7, 2026) - New Campaign</t>
  </si>
  <si>
    <t>537.00</t>
  </si>
  <si>
    <t>16,110.00</t>
  </si>
  <si>
    <t>400 &gt; 937.50 (increase on sept 9, 2026)</t>
  </si>
  <si>
    <t>111,574.21</t>
  </si>
  <si>
    <t>BUDGET ALLOCATION (SEPTEMBER 2026)</t>
  </si>
  <si>
    <t>PLATFORM</t>
  </si>
  <si>
    <t>CAMPAIGN / AD SET TYPE</t>
  </si>
  <si>
    <t>MONTHLY (ESTIMATED)</t>
  </si>
  <si>
    <t>DAILY (ESTIMATED)</t>
  </si>
  <si>
    <t>Google Ads</t>
  </si>
  <si>
    <t>All Brands - PMax</t>
  </si>
  <si>
    <t>Michelin/BFG - PMax</t>
  </si>
  <si>
    <t>Michelin Cashback - PMax</t>
  </si>
  <si>
    <t>Scenario / input</t>
  </si>
  <si>
    <t>Value / spend</t>
  </si>
  <si>
    <t>CPA assumption</t>
  </si>
  <si>
    <t>Projected purchases</t>
  </si>
  <si>
    <t>Interpretation</t>
  </si>
  <si>
    <t>Forecast period</t>
  </si>
  <si>
    <t>September 2026</t>
  </si>
  <si>
    <t>Conditional planning projection, not a statistically calibrated prediction.</t>
  </si>
  <si>
    <t>Planned September spend</t>
  </si>
  <si>
    <t>Optimistic CPA reduction</t>
  </si>
  <si>
    <t>August actual CPA</t>
  </si>
  <si>
    <t>July actual CPA</t>
  </si>
  <si>
    <t>July–August pooled CPA</t>
  </si>
  <si>
    <t>Editable assumptions: B4 = planned spend; B5 = optimistic CPA reduction. Default spend maintains August daily spend over September’s 30 days.</t>
  </si>
  <si>
    <t>Conservative: July efficiency</t>
  </si>
  <si>
    <t>Uses July observed CPA; this is a historical stress case, not a lower confidence bound.</t>
  </si>
  <si>
    <t>Pooled recent efficiency</t>
  </si>
  <si>
    <t>Two-month pooled spend / purchases smooths the most recent improvement.</t>
  </si>
  <si>
    <t>Base: August efficiency</t>
  </si>
  <si>
    <t>Assumes August campaign mix and measured efficiency continue; default planning baseline.</t>
  </si>
  <si>
    <t>Optimistic: assumed improvement</t>
  </si>
  <si>
    <t>Assumes 20% lower CPA than August. User-editable scenario, not a fitted trend.</t>
  </si>
  <si>
    <t>Statistical limits: n = 3 aggregate months. No daily variation, seasonality history or stable campaign composition is available. Forecasts assume CPA can be held at the scenario level as spend changes; saturation and auction effects are unknown. No confidence interval or validated accuracy claim is presented.</t>
  </si>
  <si>
    <t>Backtest diagnostic: June CPA applied to July spend predicts 13.89 purchases vs 67 observed (−79.3% error). July CPA applied to August spend predicts 83.95 vs 188 (−55.3%). These two one-step checks show historical CPA carry-forward underpredicted recent growth; they do not validate any forecast model.</t>
  </si>
  <si>
    <t>Spend sensitivity</t>
  </si>
  <si>
    <t>CPA +20%</t>
  </si>
  <si>
    <t>August CPA</t>
  </si>
  <si>
    <t>CPA −20%</t>
  </si>
  <si>
    <t>Sensitivity cells show expected recorded purchases. They are conditional arithmetic, not probabilities. Compare actual September spend, purchases and fulfilled orders weekly; revise the assumptions when the campaign mix or tracking changes.</t>
  </si>
</sst>
</file>

<file path=xl/styles.xml><?xml version="1.0" encoding="utf-8"?>
<styleSheet xmlns="http://schemas.openxmlformats.org/spreadsheetml/2006/main">
  <numFmts count="4">
    <numFmt numFmtId="164" formatCode="&quot;₱&quot;#,##0.00"/>
    <numFmt numFmtId="165" formatCode="#,##0"/>
    <numFmt numFmtId="166" formatCode="0.00%"/>
    <numFmt numFmtId="167" formatCode="0.00"/>
  </numFmts>
  <fonts count="5">
    <font>
      <sz val="11"/>
      <color theme="1"/>
      <name val="Calibri"/>
      <family val="2"/>
      <scheme val="minor"/>
    </font>
    <font>
      <b/>
      <sz val="22"/>
      <color rgb="FF16324F"/>
      <name val="Calibri"/>
      <family val="2"/>
      <scheme val="minor"/>
    </font>
    <font>
      <b/>
      <sz val="12"/>
      <color rgb="FF007F8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4"/>
      <color rgb="FF007F8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spend (PHP)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Monthly spend (PHP)</c:v>
          </c:tx>
          <c:spPr>
            <a:solidFill>
              <a:srgbClr val="007F86"/>
            </a:solidFill>
            <a:ln>
              <a:solidFill>
                <a:srgbClr val="007F86"/>
              </a:solidFill>
            </a:ln>
          </c:spPr>
          <c:dLbls>
            <c:numFmt formatCode="#,##0" sourceLinked="0"/>
            <c:showVal val="1"/>
          </c:dLbls>
          <c:cat>
            <c:strRef>
              <c:f>'Charts Data'!$A$2:$A$4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'Charts Data'!$B$2:$B$4</c:f>
              <c:numCache>
                <c:formatCode>General</c:formatCode>
                <c:ptCount val="3"/>
                <c:pt idx="0">
                  <c:v>61601.33</c:v>
                </c:pt>
                <c:pt idx="1">
                  <c:v>95066.91</c:v>
                </c:pt>
                <c:pt idx="2">
                  <c:v>119119.2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Recorded purchases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Recorded purchases</c:v>
          </c:tx>
          <c:spPr>
            <a:solidFill>
              <a:srgbClr val="007F86"/>
            </a:solidFill>
            <a:ln>
              <a:solidFill>
                <a:srgbClr val="007F86"/>
              </a:solidFill>
            </a:ln>
          </c:spPr>
          <c:dLbls>
            <c:numFmt formatCode="#,##0" sourceLinked="0"/>
            <c:showVal val="1"/>
          </c:dLbls>
          <c:cat>
            <c:strRef>
              <c:f>'Charts Data'!$A$2:$A$4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'Charts Data'!$C$2:$C$4</c:f>
              <c:numCache>
                <c:formatCode>General</c:formatCode>
                <c:ptCount val="3"/>
                <c:pt idx="0">
                  <c:v>9</c:v>
                </c:pt>
                <c:pt idx="1">
                  <c:v>67</c:v>
                </c:pt>
                <c:pt idx="2">
                  <c:v>188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 per purchase (PHP)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per purchase (PHP)</c:v>
          </c:tx>
          <c:spPr>
            <a:solidFill>
              <a:srgbClr val="007F86"/>
            </a:solidFill>
            <a:ln>
              <a:solidFill>
                <a:srgbClr val="007F86"/>
              </a:solidFill>
            </a:ln>
          </c:spPr>
          <c:dLbls>
            <c:numFmt formatCode="#,##0" sourceLinked="0"/>
            <c:showVal val="1"/>
          </c:dLbls>
          <c:cat>
            <c:strRef>
              <c:f>'Charts Data'!$A$2:$A$4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'Charts Data'!$D$2:$D$4</c:f>
              <c:numCache>
                <c:formatCode>General</c:formatCode>
                <c:ptCount val="3"/>
                <c:pt idx="0">
                  <c:v>6844.592222222223</c:v>
                </c:pt>
                <c:pt idx="1">
                  <c:v>1418.909104477612</c:v>
                </c:pt>
                <c:pt idx="2">
                  <c:v>633.6127659574468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#,##0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Purchases / session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Purchases / session</c:v>
          </c:tx>
          <c:spPr>
            <a:solidFill>
              <a:srgbClr val="007F86"/>
            </a:solidFill>
            <a:ln>
              <a:solidFill>
                <a:srgbClr val="007F86"/>
              </a:solidFill>
            </a:ln>
          </c:spPr>
          <c:marker>
            <c:symbol val="none"/>
          </c:marker>
          <c:dLbls>
            <c:numFmt formatCode="0.00%" sourceLinked="0"/>
            <c:showVal val="1"/>
          </c:dLbls>
          <c:cat>
            <c:strRef>
              <c:f>'Charts Data'!$A$2:$A$4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'Charts Data'!$F$2:$F$4</c:f>
              <c:numCache>
                <c:formatCode>General</c:formatCode>
                <c:ptCount val="3"/>
                <c:pt idx="0">
                  <c:v>0.004580152671755725</c:v>
                </c:pt>
                <c:pt idx="1">
                  <c:v>0.00347961568423786</c:v>
                </c:pt>
                <c:pt idx="2">
                  <c:v>0.001208233986079602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.0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September purchases by scenario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07F86"/>
            </a:solidFill>
          </c:spPr>
          <c:dLbls>
            <c:numFmt formatCode="0" sourceLinked="0"/>
            <c:showVal val="1"/>
          </c:dLbls>
          <c:cat>
            <c:strRef>
              <c:f>'September Forecast'!$A$11:$A$14</c:f>
              <c:strCache>
                <c:ptCount val="4"/>
                <c:pt idx="0">
                  <c:v>Conservative: July efficiency</c:v>
                </c:pt>
                <c:pt idx="1">
                  <c:v>Pooled recent efficiency</c:v>
                </c:pt>
                <c:pt idx="2">
                  <c:v>Base: August efficiency</c:v>
                </c:pt>
                <c:pt idx="3">
                  <c:v>Optimistic: assumed improvement</c:v>
                </c:pt>
              </c:strCache>
            </c:strRef>
          </c:cat>
          <c:val>
            <c:numRef>
              <c:f>'September Forecast'!$D$11:$D$14</c:f>
              <c:numCache>
                <c:formatCode>General</c:formatCode>
                <c:ptCount val="4"/>
                <c:pt idx="0">
                  <c:v>81.24314996465596</c:v>
                </c:pt>
                <c:pt idx="1">
                  <c:v>137.24300103367597</c:v>
                </c:pt>
                <c:pt idx="2">
                  <c:v>181.93548387096774</c:v>
                </c:pt>
                <c:pt idx="3">
                  <c:v>227.4193548387097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6</xdr:col>
      <xdr:colOff>104775</xdr:colOff>
      <xdr:row>49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15</xdr:col>
      <xdr:colOff>114300</xdr:colOff>
      <xdr:row>49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55</xdr:row>
      <xdr:rowOff>0</xdr:rowOff>
    </xdr:from>
    <xdr:to>
      <xdr:col>6</xdr:col>
      <xdr:colOff>104775</xdr:colOff>
      <xdr:row>65</xdr:row>
      <xdr:rowOff>190500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55</xdr:row>
      <xdr:rowOff>0</xdr:rowOff>
    </xdr:from>
    <xdr:to>
      <xdr:col>15</xdr:col>
      <xdr:colOff>114300</xdr:colOff>
      <xdr:row>65</xdr:row>
      <xdr:rowOff>190500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4</xdr:col>
      <xdr:colOff>571500</xdr:colOff>
      <xdr:row>43</xdr:row>
      <xdr:rowOff>209550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N37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3.7109375" customWidth="1"/>
    <col min="2" max="3" width="23.7109375" customWidth="1"/>
    <col min="4" max="14" width="12.7109375" customWidth="1"/>
  </cols>
  <sheetData>
    <row r="2" spans="2:14" ht="21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1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spans="2:14" ht="21" customHeight="1">
      <c r="B6" s="3" t="s">
        <v>2</v>
      </c>
      <c r="C6" s="3"/>
      <c r="D6" s="3"/>
      <c r="E6" s="3"/>
      <c r="F6" s="3" t="s">
        <v>3</v>
      </c>
      <c r="G6" s="3"/>
      <c r="H6" s="3"/>
      <c r="I6" s="3"/>
      <c r="J6" s="3" t="s">
        <v>4</v>
      </c>
      <c r="K6" s="3"/>
      <c r="L6" s="3"/>
      <c r="M6" s="3"/>
    </row>
    <row r="7" spans="2:14" ht="21" customHeight="1">
      <c r="B7" s="4">
        <v>275787.44</v>
      </c>
      <c r="C7" s="4"/>
      <c r="D7" s="4"/>
      <c r="E7" s="4"/>
      <c r="F7" s="5">
        <v>264</v>
      </c>
      <c r="G7" s="5"/>
      <c r="H7" s="5"/>
      <c r="I7" s="5"/>
      <c r="J7" s="4">
        <v>1044.649393939394</v>
      </c>
      <c r="K7" s="4"/>
      <c r="L7" s="4"/>
      <c r="M7" s="4"/>
    </row>
    <row r="8" spans="2:14" ht="21" customHeight="1">
      <c r="B8" s="4"/>
      <c r="C8" s="4"/>
      <c r="D8" s="4"/>
      <c r="E8" s="4"/>
      <c r="F8" s="5"/>
      <c r="G8" s="5"/>
      <c r="H8" s="5"/>
      <c r="I8" s="5"/>
      <c r="J8" s="4"/>
      <c r="K8" s="4"/>
      <c r="L8" s="4"/>
      <c r="M8" s="4"/>
    </row>
    <row r="11" spans="2:14" ht="23" customHeight="1">
      <c r="B11" s="2" t="s">
        <v>5</v>
      </c>
      <c r="C11" s="2"/>
      <c r="D11" s="6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2:14" ht="23" customHeight="1"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4" spans="2:14" ht="23" customHeight="1">
      <c r="B14" s="2" t="s">
        <v>7</v>
      </c>
      <c r="C14" s="2"/>
      <c r="D14" s="6" t="s">
        <v>8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4" ht="23" customHeight="1"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7" spans="2:14" ht="23" customHeight="1">
      <c r="B17" s="2" t="s">
        <v>9</v>
      </c>
      <c r="C17" s="2"/>
      <c r="D17" s="6" t="s">
        <v>10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4" ht="23" customHeight="1"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20" spans="2:14" ht="23" customHeight="1">
      <c r="B20" s="2" t="s">
        <v>11</v>
      </c>
      <c r="C20" s="2"/>
      <c r="D20" s="6" t="s">
        <v>12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4" ht="23" customHeight="1"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3" spans="2:14" ht="23" customHeight="1">
      <c r="B23" s="2" t="s">
        <v>13</v>
      </c>
      <c r="C23" s="2"/>
      <c r="D23" s="6" t="s">
        <v>14</v>
      </c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2:14" ht="23" customHeight="1"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6" spans="2:14" ht="23" customHeight="1">
      <c r="B26" s="2" t="s">
        <v>15</v>
      </c>
      <c r="C26" s="2"/>
      <c r="D26" s="6" t="s">
        <v>16</v>
      </c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2:14" ht="23" customHeight="1">
      <c r="B27" s="2"/>
      <c r="C27" s="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9" spans="2:14" ht="23" customHeight="1">
      <c r="B29" s="2" t="s">
        <v>17</v>
      </c>
      <c r="C29" s="2"/>
      <c r="D29" s="6" t="s">
        <v>18</v>
      </c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2:14" ht="23" customHeight="1"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2" spans="2:14" ht="23" customHeight="1">
      <c r="B32" s="2" t="s">
        <v>19</v>
      </c>
      <c r="C32" s="2"/>
      <c r="D32" s="6" t="s">
        <v>20</v>
      </c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2:14" ht="23" customHeight="1"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6" spans="2:14" ht="21" customHeight="1">
      <c r="B36" s="6" t="s">
        <v>21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2:14" ht="21" customHeigh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</sheetData>
  <mergeCells count="25">
    <mergeCell ref="B2:N3"/>
    <mergeCell ref="B4:N4"/>
    <mergeCell ref="B6:E6"/>
    <mergeCell ref="B7:E8"/>
    <mergeCell ref="F6:I6"/>
    <mergeCell ref="F7:I8"/>
    <mergeCell ref="J6:M6"/>
    <mergeCell ref="J7:M8"/>
    <mergeCell ref="B11:C12"/>
    <mergeCell ref="D11:N12"/>
    <mergeCell ref="B14:C15"/>
    <mergeCell ref="D14:N15"/>
    <mergeCell ref="B17:C18"/>
    <mergeCell ref="D17:N18"/>
    <mergeCell ref="B20:C21"/>
    <mergeCell ref="D20:N21"/>
    <mergeCell ref="B23:C24"/>
    <mergeCell ref="D23:N24"/>
    <mergeCell ref="B26:C27"/>
    <mergeCell ref="D26:N27"/>
    <mergeCell ref="B29:C30"/>
    <mergeCell ref="D29:N30"/>
    <mergeCell ref="B32:C33"/>
    <mergeCell ref="D32:N33"/>
    <mergeCell ref="B36:N37"/>
  </mergeCells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29.7109375" customWidth="1"/>
    <col min="2" max="6" width="19.7109375" customWidth="1"/>
    <col min="7" max="7" width="26.7109375" customWidth="1"/>
  </cols>
  <sheetData>
    <row r="1" spans="1:7" ht="42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</row>
    <row r="2" spans="1:7" ht="21" customHeight="1">
      <c r="A2" t="s">
        <v>29</v>
      </c>
      <c r="B2" s="7">
        <v>61601.33</v>
      </c>
      <c r="C2" s="7">
        <v>95066.91</v>
      </c>
      <c r="D2" s="7">
        <v>119119.2</v>
      </c>
      <c r="E2" s="8">
        <v>0.5432606731055969</v>
      </c>
      <c r="F2" s="8">
        <v>0.2530038054250421</v>
      </c>
      <c r="G2" t="s">
        <v>30</v>
      </c>
    </row>
    <row r="3" spans="1:7" ht="21" customHeight="1">
      <c r="A3" t="s">
        <v>31</v>
      </c>
      <c r="B3" s="9">
        <v>1965</v>
      </c>
      <c r="C3" s="9">
        <v>19255</v>
      </c>
      <c r="D3" s="9">
        <v>155599</v>
      </c>
      <c r="E3" s="8">
        <v>8.798982188295165</v>
      </c>
      <c r="F3" s="8">
        <v>7.080965982861594</v>
      </c>
      <c r="G3" t="s">
        <v>30</v>
      </c>
    </row>
    <row r="4" spans="1:7" ht="21" customHeight="1">
      <c r="A4" t="s">
        <v>32</v>
      </c>
      <c r="B4" s="9">
        <v>1813</v>
      </c>
      <c r="C4" s="9">
        <v>17533</v>
      </c>
      <c r="D4" s="9">
        <v>136325</v>
      </c>
      <c r="E4" s="8">
        <v>8.670711527854385</v>
      </c>
      <c r="F4" s="8">
        <v>6.775337934181258</v>
      </c>
      <c r="G4" t="s">
        <v>30</v>
      </c>
    </row>
    <row r="5" spans="1:7" ht="21" customHeight="1">
      <c r="A5" t="s">
        <v>33</v>
      </c>
      <c r="B5" s="9">
        <v>496</v>
      </c>
      <c r="C5" s="9">
        <v>4007</v>
      </c>
      <c r="D5" s="9">
        <v>7923</v>
      </c>
      <c r="E5" s="8">
        <v>7.078629032258064</v>
      </c>
      <c r="F5" s="8">
        <v>0.9772897429498377</v>
      </c>
      <c r="G5" t="s">
        <v>30</v>
      </c>
    </row>
    <row r="6" spans="1:7" ht="21" customHeight="1">
      <c r="A6" t="s">
        <v>34</v>
      </c>
      <c r="B6" s="9">
        <v>37</v>
      </c>
      <c r="C6" s="9">
        <v>262</v>
      </c>
      <c r="D6" s="9">
        <v>659</v>
      </c>
      <c r="E6" s="8">
        <v>6.081081081081081</v>
      </c>
      <c r="F6" s="8">
        <v>1.515267175572519</v>
      </c>
      <c r="G6" t="s">
        <v>30</v>
      </c>
    </row>
    <row r="7" spans="1:7" ht="21" customHeight="1">
      <c r="A7" t="s">
        <v>3</v>
      </c>
      <c r="B7" s="9">
        <v>9</v>
      </c>
      <c r="C7" s="9">
        <v>67</v>
      </c>
      <c r="D7" s="9">
        <v>188</v>
      </c>
      <c r="E7" s="8">
        <v>6.444444444444445</v>
      </c>
      <c r="F7" s="8">
        <v>1.805970149253731</v>
      </c>
      <c r="G7" t="s">
        <v>30</v>
      </c>
    </row>
    <row r="8" spans="1:7" ht="21" customHeight="1">
      <c r="A8" t="s">
        <v>35</v>
      </c>
      <c r="B8" s="7">
        <v>6844.592222222223</v>
      </c>
      <c r="C8" s="7">
        <v>1418.909104477612</v>
      </c>
      <c r="D8" s="7">
        <v>633.6127659574468</v>
      </c>
      <c r="E8" s="8">
        <v>-0.792696327493278</v>
      </c>
      <c r="F8" s="8">
        <v>-0.5534507714708626</v>
      </c>
      <c r="G8" t="s">
        <v>30</v>
      </c>
    </row>
    <row r="9" spans="1:7" ht="21" customHeight="1">
      <c r="A9" t="s">
        <v>36</v>
      </c>
      <c r="B9" s="7">
        <v>31.34927735368957</v>
      </c>
      <c r="C9" s="7">
        <v>4.937258374448195</v>
      </c>
      <c r="D9" s="7">
        <v>0.765552477843688</v>
      </c>
      <c r="E9" s="8">
        <v>-0.8425080642611011</v>
      </c>
      <c r="F9" s="8">
        <v>-0.8449438089354097</v>
      </c>
      <c r="G9" t="s">
        <v>30</v>
      </c>
    </row>
    <row r="10" spans="1:7" ht="21" customHeight="1">
      <c r="A10" t="s">
        <v>37</v>
      </c>
      <c r="B10" s="8">
        <v>0.004580152671755725</v>
      </c>
      <c r="C10" s="8">
        <v>0.00347961568423786</v>
      </c>
      <c r="D10" s="8">
        <v>0.001208233986079602</v>
      </c>
      <c r="E10" s="8">
        <v>-0.001100536987517865</v>
      </c>
      <c r="F10" s="8">
        <v>-0.002271381698158258</v>
      </c>
      <c r="G10" t="s">
        <v>38</v>
      </c>
    </row>
    <row r="11" spans="1:7" ht="21" customHeight="1">
      <c r="A11" t="s">
        <v>39</v>
      </c>
      <c r="B11" s="8">
        <v>0.2524173027989822</v>
      </c>
      <c r="C11" s="8">
        <v>0.2081017917424046</v>
      </c>
      <c r="D11" s="8">
        <v>0.05091935038142919</v>
      </c>
      <c r="E11" s="8">
        <v>-0.04431551105657761</v>
      </c>
      <c r="F11" s="8">
        <v>-0.1571824413609754</v>
      </c>
      <c r="G11" t="s">
        <v>38</v>
      </c>
    </row>
    <row r="12" spans="1:7" ht="21" customHeight="1">
      <c r="A12" t="s">
        <v>40</v>
      </c>
      <c r="B12" s="8">
        <v>0.07459677419354839</v>
      </c>
      <c r="C12" s="8">
        <v>0.06538557524332418</v>
      </c>
      <c r="D12" s="8">
        <v>0.08317556481130885</v>
      </c>
      <c r="E12" s="8">
        <v>-0.009211198950224209</v>
      </c>
      <c r="F12" s="8">
        <v>0.01778998956798467</v>
      </c>
      <c r="G12" t="s">
        <v>38</v>
      </c>
    </row>
    <row r="13" spans="1:7" ht="21" customHeight="1">
      <c r="A13" t="s">
        <v>41</v>
      </c>
      <c r="B13" s="8">
        <v>0.2432432432432433</v>
      </c>
      <c r="C13" s="8">
        <v>0.2557251908396946</v>
      </c>
      <c r="D13" s="8">
        <v>0.2852807283763278</v>
      </c>
      <c r="E13" s="8">
        <v>0.01248194759645138</v>
      </c>
      <c r="F13" s="8">
        <v>0.02955553753663315</v>
      </c>
      <c r="G13" t="s">
        <v>38</v>
      </c>
    </row>
    <row r="14" spans="1:7" ht="21" customHeight="1">
      <c r="A14" t="s">
        <v>42</v>
      </c>
      <c r="B14" s="7">
        <v>2053.377666666667</v>
      </c>
      <c r="C14" s="7">
        <v>3066.674516129032</v>
      </c>
      <c r="D14" s="7">
        <v>3842.554838709677</v>
      </c>
      <c r="E14" s="8">
        <v>0.4934780707473518</v>
      </c>
      <c r="F14" s="8">
        <v>0.2530038054250421</v>
      </c>
      <c r="G14" t="s">
        <v>30</v>
      </c>
    </row>
    <row r="15" spans="1:7" ht="21" customHeight="1">
      <c r="A15" t="s">
        <v>43</v>
      </c>
      <c r="B15" s="10">
        <v>0.3</v>
      </c>
      <c r="C15" s="10">
        <v>2.161290322580645</v>
      </c>
      <c r="D15" s="10">
        <v>6.064516129032258</v>
      </c>
      <c r="E15" s="8">
        <v>6.204301075268817</v>
      </c>
      <c r="F15" s="8">
        <v>1.805970149253731</v>
      </c>
      <c r="G15" t="s">
        <v>30</v>
      </c>
    </row>
    <row r="18" spans="1:7" ht="21" customHeight="1">
      <c r="A18" s="6" t="s">
        <v>45</v>
      </c>
      <c r="B18" s="6"/>
      <c r="C18" s="6"/>
      <c r="D18" s="6"/>
      <c r="E18" s="6"/>
      <c r="F18" s="6"/>
      <c r="G18" s="6"/>
    </row>
    <row r="19" spans="1:7" ht="21" customHeight="1">
      <c r="A19" s="6"/>
      <c r="B19" s="6"/>
      <c r="C19" s="6"/>
      <c r="D19" s="6"/>
      <c r="E19" s="6"/>
      <c r="F19" s="6"/>
      <c r="G19" s="6"/>
    </row>
  </sheetData>
  <mergeCells count="1">
    <mergeCell ref="A18:G19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3.7109375" customWidth="1"/>
    <col min="2" max="2" width="43.7109375" customWidth="1"/>
    <col min="3" max="16" width="18.7109375" customWidth="1"/>
  </cols>
  <sheetData>
    <row r="1" spans="1:16" ht="42" customHeight="1">
      <c r="A1" s="3" t="s">
        <v>46</v>
      </c>
      <c r="B1" s="3" t="s">
        <v>47</v>
      </c>
      <c r="C1" s="3" t="s">
        <v>29</v>
      </c>
      <c r="D1" s="3" t="s">
        <v>31</v>
      </c>
      <c r="E1" s="3" t="s">
        <v>48</v>
      </c>
      <c r="F1" s="3" t="s">
        <v>33</v>
      </c>
      <c r="G1" s="3" t="s">
        <v>34</v>
      </c>
      <c r="H1" s="3" t="s">
        <v>49</v>
      </c>
      <c r="I1" s="3" t="s">
        <v>35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</row>
    <row r="2" spans="1:16" ht="21" customHeight="1">
      <c r="A2" s="11" t="s">
        <v>23</v>
      </c>
      <c r="B2" s="11" t="s">
        <v>57</v>
      </c>
      <c r="C2" s="7">
        <v>16187.52</v>
      </c>
      <c r="D2" s="9">
        <v>44</v>
      </c>
      <c r="E2" s="9">
        <v>43</v>
      </c>
      <c r="F2" s="9">
        <v>3</v>
      </c>
      <c r="G2" s="9">
        <v>1</v>
      </c>
      <c r="H2" s="9">
        <v>0</v>
      </c>
      <c r="I2" s="11" t="s">
        <v>58</v>
      </c>
      <c r="J2" s="7">
        <v>367.8981818181819</v>
      </c>
      <c r="K2" s="8">
        <v>0</v>
      </c>
      <c r="L2" s="8">
        <v>0.06818181818181818</v>
      </c>
      <c r="M2" s="8">
        <v>0.3333333333333333</v>
      </c>
      <c r="N2" s="8">
        <v>0</v>
      </c>
      <c r="O2" s="8">
        <v>0.2627787419524871</v>
      </c>
      <c r="P2" s="8">
        <v>0</v>
      </c>
    </row>
    <row r="3" spans="1:16" ht="21" customHeight="1">
      <c r="A3" s="11" t="s">
        <v>23</v>
      </c>
      <c r="B3" s="11" t="s">
        <v>59</v>
      </c>
      <c r="C3" s="7">
        <v>22000.16</v>
      </c>
      <c r="D3" s="9">
        <v>176</v>
      </c>
      <c r="E3" s="9">
        <v>164</v>
      </c>
      <c r="F3" s="9">
        <v>15</v>
      </c>
      <c r="G3" s="9">
        <v>0</v>
      </c>
      <c r="H3" s="9">
        <v>0</v>
      </c>
      <c r="I3" s="11" t="s">
        <v>58</v>
      </c>
      <c r="J3" s="7">
        <v>125.0009090909091</v>
      </c>
      <c r="K3" s="8">
        <v>0</v>
      </c>
      <c r="L3" s="8">
        <v>0.08522727272727272</v>
      </c>
      <c r="M3" s="8">
        <v>0</v>
      </c>
      <c r="N3" s="11" t="s">
        <v>58</v>
      </c>
      <c r="O3" s="8">
        <v>0.3571377436168992</v>
      </c>
      <c r="P3" s="8">
        <v>0</v>
      </c>
    </row>
    <row r="4" spans="1:16" ht="21" customHeight="1">
      <c r="A4" s="11" t="s">
        <v>23</v>
      </c>
      <c r="B4" s="11" t="s">
        <v>60</v>
      </c>
      <c r="C4" s="7">
        <v>12607.29</v>
      </c>
      <c r="D4" s="9">
        <v>1421</v>
      </c>
      <c r="E4" s="9">
        <v>1310</v>
      </c>
      <c r="F4" s="9">
        <v>379</v>
      </c>
      <c r="G4" s="9">
        <v>26</v>
      </c>
      <c r="H4" s="9">
        <v>4</v>
      </c>
      <c r="I4" s="7">
        <v>3151.8225</v>
      </c>
      <c r="J4" s="7">
        <v>8.872125263898663</v>
      </c>
      <c r="K4" s="8">
        <v>0.002814919071076707</v>
      </c>
      <c r="L4" s="8">
        <v>0.2667135819845179</v>
      </c>
      <c r="M4" s="8">
        <v>0.06860158311345646</v>
      </c>
      <c r="N4" s="8">
        <v>0.1538461538461539</v>
      </c>
      <c r="O4" s="8">
        <v>0.2046593799192323</v>
      </c>
      <c r="P4" s="8">
        <v>0.4444444444444444</v>
      </c>
    </row>
    <row r="5" spans="1:16" ht="21" customHeight="1">
      <c r="A5" s="11" t="s">
        <v>23</v>
      </c>
      <c r="B5" s="11" t="s">
        <v>61</v>
      </c>
      <c r="C5" s="7">
        <v>10806.36</v>
      </c>
      <c r="D5" s="9">
        <v>324</v>
      </c>
      <c r="E5" s="9">
        <v>296</v>
      </c>
      <c r="F5" s="9">
        <v>99</v>
      </c>
      <c r="G5" s="9">
        <v>10</v>
      </c>
      <c r="H5" s="9">
        <v>5</v>
      </c>
      <c r="I5" s="7">
        <v>2161.272</v>
      </c>
      <c r="J5" s="7">
        <v>33.35296296296296</v>
      </c>
      <c r="K5" s="8">
        <v>0.0154320987654321</v>
      </c>
      <c r="L5" s="8">
        <v>0.3055555555555556</v>
      </c>
      <c r="M5" s="8">
        <v>0.101010101010101</v>
      </c>
      <c r="N5" s="8">
        <v>0.5</v>
      </c>
      <c r="O5" s="8">
        <v>0.1754241345113815</v>
      </c>
      <c r="P5" s="8">
        <v>0.5555555555555556</v>
      </c>
    </row>
    <row r="6" spans="1:16" ht="21" customHeight="1">
      <c r="A6" s="11" t="s">
        <v>24</v>
      </c>
      <c r="B6" s="11" t="s">
        <v>60</v>
      </c>
      <c r="C6" s="7">
        <v>22216.16</v>
      </c>
      <c r="D6" s="9">
        <v>6105</v>
      </c>
      <c r="E6" s="9">
        <v>5603</v>
      </c>
      <c r="F6" s="9">
        <v>1146</v>
      </c>
      <c r="G6" s="9">
        <v>86</v>
      </c>
      <c r="H6" s="9">
        <v>18</v>
      </c>
      <c r="I6" s="7">
        <v>1234.231111111111</v>
      </c>
      <c r="J6" s="7">
        <v>3.639010647010647</v>
      </c>
      <c r="K6" s="8">
        <v>0.002948402948402948</v>
      </c>
      <c r="L6" s="8">
        <v>0.1877149877149877</v>
      </c>
      <c r="M6" s="8">
        <v>0.07504363001745201</v>
      </c>
      <c r="N6" s="8">
        <v>0.2093023255813954</v>
      </c>
      <c r="O6" s="8">
        <v>0.2336897244267222</v>
      </c>
      <c r="P6" s="8">
        <v>0.2686567164179104</v>
      </c>
    </row>
    <row r="7" spans="1:16" ht="21" customHeight="1">
      <c r="A7" s="11" t="s">
        <v>24</v>
      </c>
      <c r="B7" s="11" t="s">
        <v>59</v>
      </c>
      <c r="C7" s="7">
        <v>24387.85</v>
      </c>
      <c r="D7" s="9">
        <v>5544</v>
      </c>
      <c r="E7" s="9">
        <v>5086</v>
      </c>
      <c r="F7" s="9">
        <v>999</v>
      </c>
      <c r="G7" s="9">
        <v>54</v>
      </c>
      <c r="H7" s="9">
        <v>13</v>
      </c>
      <c r="I7" s="7">
        <v>1875.988461538461</v>
      </c>
      <c r="J7" s="7">
        <v>4.398962842712843</v>
      </c>
      <c r="K7" s="8">
        <v>0.002344877344877345</v>
      </c>
      <c r="L7" s="8">
        <v>0.1801948051948052</v>
      </c>
      <c r="M7" s="8">
        <v>0.05405405405405406</v>
      </c>
      <c r="N7" s="8">
        <v>0.2407407407407407</v>
      </c>
      <c r="O7" s="8">
        <v>0.2565335299106702</v>
      </c>
      <c r="P7" s="8">
        <v>0.1940298507462687</v>
      </c>
    </row>
    <row r="8" spans="1:16" ht="21" customHeight="1">
      <c r="A8" s="11" t="s">
        <v>24</v>
      </c>
      <c r="B8" s="11" t="s">
        <v>62</v>
      </c>
      <c r="C8" s="7">
        <v>20054.15</v>
      </c>
      <c r="D8" s="9">
        <v>69</v>
      </c>
      <c r="E8" s="9">
        <v>67</v>
      </c>
      <c r="F8" s="9">
        <v>4</v>
      </c>
      <c r="G8" s="9">
        <v>0</v>
      </c>
      <c r="H8" s="9">
        <v>0</v>
      </c>
      <c r="I8" s="11" t="s">
        <v>58</v>
      </c>
      <c r="J8" s="7">
        <v>290.6398550724638</v>
      </c>
      <c r="K8" s="8">
        <v>0</v>
      </c>
      <c r="L8" s="8">
        <v>0.05797101449275362</v>
      </c>
      <c r="M8" s="8">
        <v>0</v>
      </c>
      <c r="N8" s="11" t="s">
        <v>58</v>
      </c>
      <c r="O8" s="8">
        <v>0.2109477419640546</v>
      </c>
      <c r="P8" s="8">
        <v>0</v>
      </c>
    </row>
    <row r="9" spans="1:16" ht="21" customHeight="1">
      <c r="A9" s="11" t="s">
        <v>24</v>
      </c>
      <c r="B9" s="11" t="s">
        <v>63</v>
      </c>
      <c r="C9" s="7">
        <v>18705.37</v>
      </c>
      <c r="D9" s="9">
        <v>6171</v>
      </c>
      <c r="E9" s="9">
        <v>5507</v>
      </c>
      <c r="F9" s="9">
        <v>1659</v>
      </c>
      <c r="G9" s="9">
        <v>112</v>
      </c>
      <c r="H9" s="9">
        <v>34</v>
      </c>
      <c r="I9" s="7">
        <v>550.1579411764706</v>
      </c>
      <c r="J9" s="7">
        <v>3.031173229622427</v>
      </c>
      <c r="K9" s="8">
        <v>0.005509641873278237</v>
      </c>
      <c r="L9" s="8">
        <v>0.2688381137578998</v>
      </c>
      <c r="M9" s="8">
        <v>0.06751054852320675</v>
      </c>
      <c r="N9" s="8">
        <v>0.3035714285714285</v>
      </c>
      <c r="O9" s="8">
        <v>0.196760050368735</v>
      </c>
      <c r="P9" s="8">
        <v>0.5074626865671642</v>
      </c>
    </row>
    <row r="10" spans="1:16" ht="21" customHeight="1">
      <c r="A10" s="11" t="s">
        <v>24</v>
      </c>
      <c r="B10" s="11" t="s">
        <v>64</v>
      </c>
      <c r="C10" s="7">
        <v>9703.379999999999</v>
      </c>
      <c r="D10" s="9">
        <v>1366</v>
      </c>
      <c r="E10" s="9">
        <v>1270</v>
      </c>
      <c r="F10" s="9">
        <v>199</v>
      </c>
      <c r="G10" s="9">
        <v>10</v>
      </c>
      <c r="H10" s="9">
        <v>2</v>
      </c>
      <c r="I10" s="7">
        <v>4851.69</v>
      </c>
      <c r="J10" s="7">
        <v>7.103499267935578</v>
      </c>
      <c r="K10" s="8">
        <v>0.001464128843338214</v>
      </c>
      <c r="L10" s="8">
        <v>0.1456808199121523</v>
      </c>
      <c r="M10" s="8">
        <v>0.05025125628140704</v>
      </c>
      <c r="N10" s="8">
        <v>0.2</v>
      </c>
      <c r="O10" s="8">
        <v>0.1020689533298179</v>
      </c>
      <c r="P10" s="8">
        <v>0.02985074626865672</v>
      </c>
    </row>
    <row r="11" spans="1:16" ht="21" customHeight="1">
      <c r="A11" s="11" t="s">
        <v>24</v>
      </c>
      <c r="B11" s="11" t="s">
        <v>61</v>
      </c>
      <c r="C11" s="7">
        <v>0</v>
      </c>
      <c r="D11" s="11" t="s">
        <v>58</v>
      </c>
      <c r="E11" s="11" t="s">
        <v>58</v>
      </c>
      <c r="F11" s="11" t="s">
        <v>58</v>
      </c>
      <c r="G11" s="11" t="s">
        <v>58</v>
      </c>
      <c r="H11" s="11" t="s">
        <v>58</v>
      </c>
      <c r="I11" s="11" t="s">
        <v>58</v>
      </c>
      <c r="J11" s="11" t="s">
        <v>58</v>
      </c>
      <c r="K11" s="11" t="s">
        <v>58</v>
      </c>
      <c r="L11" s="11" t="s">
        <v>58</v>
      </c>
      <c r="M11" s="11" t="s">
        <v>58</v>
      </c>
      <c r="N11" s="11" t="s">
        <v>58</v>
      </c>
      <c r="O11" s="8">
        <v>0</v>
      </c>
      <c r="P11" s="11" t="s">
        <v>58</v>
      </c>
    </row>
    <row r="12" spans="1:16" ht="21" customHeight="1">
      <c r="A12" s="11" t="s">
        <v>25</v>
      </c>
      <c r="B12" s="11" t="s">
        <v>60</v>
      </c>
      <c r="C12" s="7">
        <v>28491.25</v>
      </c>
      <c r="D12" s="9">
        <v>40757</v>
      </c>
      <c r="E12" s="9">
        <v>35889</v>
      </c>
      <c r="F12" s="9">
        <v>1165</v>
      </c>
      <c r="G12" s="9">
        <v>78</v>
      </c>
      <c r="H12" s="9">
        <v>27</v>
      </c>
      <c r="I12" s="7">
        <v>1055.231481481482</v>
      </c>
      <c r="J12" s="7">
        <v>0.6990516966410678</v>
      </c>
      <c r="K12" s="8">
        <v>0.0006624628898103393</v>
      </c>
      <c r="L12" s="8">
        <v>0.02858404691218686</v>
      </c>
      <c r="M12" s="8">
        <v>0.06695278969957082</v>
      </c>
      <c r="N12" s="8">
        <v>0.3461538461538461</v>
      </c>
      <c r="O12" s="8">
        <v>0.2391826842356228</v>
      </c>
      <c r="P12" s="8">
        <v>0.1436170212765958</v>
      </c>
    </row>
    <row r="13" spans="1:16" ht="21" customHeight="1">
      <c r="A13" s="11" t="s">
        <v>25</v>
      </c>
      <c r="B13" s="11" t="s">
        <v>61</v>
      </c>
      <c r="C13" s="7">
        <v>28485.14</v>
      </c>
      <c r="D13" s="9">
        <v>58564</v>
      </c>
      <c r="E13" s="9">
        <v>50691</v>
      </c>
      <c r="F13" s="9">
        <v>955</v>
      </c>
      <c r="G13" s="9">
        <v>71</v>
      </c>
      <c r="H13" s="9">
        <v>14</v>
      </c>
      <c r="I13" s="7">
        <v>2034.652857142857</v>
      </c>
      <c r="J13" s="7">
        <v>0.4863933474489447</v>
      </c>
      <c r="K13" s="8">
        <v>0.0002390547093777747</v>
      </c>
      <c r="L13" s="8">
        <v>0.01630694624684106</v>
      </c>
      <c r="M13" s="8">
        <v>0.0743455497382199</v>
      </c>
      <c r="N13" s="8">
        <v>0.1971830985915493</v>
      </c>
      <c r="O13" s="8">
        <v>0.2391313910771731</v>
      </c>
      <c r="P13" s="8">
        <v>0.07446808510638298</v>
      </c>
    </row>
    <row r="14" spans="1:16" ht="21" customHeight="1">
      <c r="A14" s="11" t="s">
        <v>25</v>
      </c>
      <c r="B14" s="11" t="s">
        <v>63</v>
      </c>
      <c r="C14" s="7">
        <v>28500.64</v>
      </c>
      <c r="D14" s="9">
        <v>17278</v>
      </c>
      <c r="E14" s="9">
        <v>15080</v>
      </c>
      <c r="F14" s="9">
        <v>3825</v>
      </c>
      <c r="G14" s="9">
        <v>396</v>
      </c>
      <c r="H14" s="9">
        <v>119</v>
      </c>
      <c r="I14" s="7">
        <v>239.5011764705882</v>
      </c>
      <c r="J14" s="7">
        <v>1.649533510823012</v>
      </c>
      <c r="K14" s="8">
        <v>0.006887371223521241</v>
      </c>
      <c r="L14" s="8">
        <v>0.2213797893274685</v>
      </c>
      <c r="M14" s="8">
        <v>0.1035294117647059</v>
      </c>
      <c r="N14" s="8">
        <v>0.3005050505050505</v>
      </c>
      <c r="O14" s="8">
        <v>0.239261512837561</v>
      </c>
      <c r="P14" s="8">
        <v>0.6329787234042553</v>
      </c>
    </row>
    <row r="15" spans="1:16" ht="21" customHeight="1">
      <c r="A15" s="11" t="s">
        <v>25</v>
      </c>
      <c r="B15" s="11" t="s">
        <v>59</v>
      </c>
      <c r="C15" s="7">
        <v>15200.15</v>
      </c>
      <c r="D15" s="9">
        <v>3140</v>
      </c>
      <c r="E15" s="9">
        <v>2816</v>
      </c>
      <c r="F15" s="9">
        <v>861</v>
      </c>
      <c r="G15" s="9">
        <v>42</v>
      </c>
      <c r="H15" s="9">
        <v>10</v>
      </c>
      <c r="I15" s="7">
        <v>1520.015</v>
      </c>
      <c r="J15" s="7">
        <v>4.840812101910828</v>
      </c>
      <c r="K15" s="8">
        <v>0.003184713375796179</v>
      </c>
      <c r="L15" s="8">
        <v>0.274203821656051</v>
      </c>
      <c r="M15" s="8">
        <v>0.04878048780487805</v>
      </c>
      <c r="N15" s="8">
        <v>0.2380952380952381</v>
      </c>
      <c r="O15" s="8">
        <v>0.127604533945829</v>
      </c>
      <c r="P15" s="8">
        <v>0.05319148936170213</v>
      </c>
    </row>
    <row r="16" spans="1:16" ht="21" customHeight="1">
      <c r="A16" s="11" t="s">
        <v>25</v>
      </c>
      <c r="B16" s="11" t="s">
        <v>65</v>
      </c>
      <c r="C16" s="7">
        <v>10347.32</v>
      </c>
      <c r="D16" s="9">
        <v>18614</v>
      </c>
      <c r="E16" s="9">
        <v>16656</v>
      </c>
      <c r="F16" s="9">
        <v>605</v>
      </c>
      <c r="G16" s="9">
        <v>46</v>
      </c>
      <c r="H16" s="9">
        <v>13</v>
      </c>
      <c r="I16" s="7">
        <v>795.9476923076923</v>
      </c>
      <c r="J16" s="7">
        <v>0.555889115719351</v>
      </c>
      <c r="K16" s="8">
        <v>0.0006983990544751263</v>
      </c>
      <c r="L16" s="8">
        <v>0.03250241753518857</v>
      </c>
      <c r="M16" s="8">
        <v>0.07603305785123966</v>
      </c>
      <c r="N16" s="8">
        <v>0.2826086956521739</v>
      </c>
      <c r="O16" s="8">
        <v>0.08686525765787548</v>
      </c>
      <c r="P16" s="8">
        <v>0.06914893617021277</v>
      </c>
    </row>
    <row r="17" spans="1:16" ht="21" customHeight="1">
      <c r="A17" s="11" t="s">
        <v>25</v>
      </c>
      <c r="B17" s="11" t="s">
        <v>66</v>
      </c>
      <c r="C17" s="7">
        <v>8094.7</v>
      </c>
      <c r="D17" s="9">
        <v>17246</v>
      </c>
      <c r="E17" s="9">
        <v>15193</v>
      </c>
      <c r="F17" s="9">
        <v>512</v>
      </c>
      <c r="G17" s="9">
        <v>26</v>
      </c>
      <c r="H17" s="9">
        <v>5</v>
      </c>
      <c r="I17" s="7">
        <v>1618.94</v>
      </c>
      <c r="J17" s="7">
        <v>0.4693668096950017</v>
      </c>
      <c r="K17" s="8">
        <v>0.0002899223008233794</v>
      </c>
      <c r="L17" s="8">
        <v>0.02968804360431404</v>
      </c>
      <c r="M17" s="8">
        <v>0.05078125</v>
      </c>
      <c r="N17" s="8">
        <v>0.1923076923076923</v>
      </c>
      <c r="O17" s="8">
        <v>0.06795462024593853</v>
      </c>
      <c r="P17" s="8">
        <v>0.02659574468085106</v>
      </c>
    </row>
  </sheetData>
  <autoFilter ref="A1:P17"/>
  <conditionalFormatting sqref="I2:I17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43.7109375" customWidth="1"/>
    <col min="2" max="7" width="18.7109375" customWidth="1"/>
    <col min="8" max="8" width="21.7109375" customWidth="1"/>
    <col min="9" max="9" width="35.7109375" customWidth="1"/>
  </cols>
  <sheetData>
    <row r="1" spans="1:9" ht="42" customHeight="1">
      <c r="A1" s="3" t="s">
        <v>47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spans="1:9" ht="21" customHeight="1">
      <c r="A2" s="11" t="s">
        <v>60</v>
      </c>
      <c r="B2" s="7">
        <v>22216.16</v>
      </c>
      <c r="C2" s="7">
        <v>28491.25</v>
      </c>
      <c r="D2" s="7">
        <v>6275.09</v>
      </c>
      <c r="E2" s="9">
        <v>18</v>
      </c>
      <c r="F2" s="9">
        <v>27</v>
      </c>
      <c r="G2" s="9">
        <v>9</v>
      </c>
      <c r="H2" s="8">
        <v>0.0743801652892562</v>
      </c>
      <c r="I2" s="11" t="s">
        <v>75</v>
      </c>
    </row>
    <row r="3" spans="1:9" ht="21" customHeight="1">
      <c r="A3" s="11" t="s">
        <v>65</v>
      </c>
      <c r="B3" s="7">
        <v>0</v>
      </c>
      <c r="C3" s="7">
        <v>10347.32</v>
      </c>
      <c r="D3" s="7">
        <v>10347.32</v>
      </c>
      <c r="E3" s="9">
        <v>0</v>
      </c>
      <c r="F3" s="9">
        <v>13</v>
      </c>
      <c r="G3" s="9">
        <v>13</v>
      </c>
      <c r="H3" s="8">
        <v>0.1074380165289256</v>
      </c>
      <c r="I3" s="11" t="s">
        <v>76</v>
      </c>
    </row>
    <row r="4" spans="1:9" ht="21" customHeight="1">
      <c r="A4" s="11" t="s">
        <v>61</v>
      </c>
      <c r="B4" s="7">
        <v>0</v>
      </c>
      <c r="C4" s="7">
        <v>28485.14</v>
      </c>
      <c r="D4" s="7">
        <v>28485.14</v>
      </c>
      <c r="E4" s="9">
        <v>0</v>
      </c>
      <c r="F4" s="9">
        <v>14</v>
      </c>
      <c r="G4" s="9">
        <v>14</v>
      </c>
      <c r="H4" s="8">
        <v>0.115702479338843</v>
      </c>
      <c r="I4" s="11" t="s">
        <v>76</v>
      </c>
    </row>
    <row r="5" spans="1:9" ht="21" customHeight="1">
      <c r="A5" s="11" t="s">
        <v>66</v>
      </c>
      <c r="B5" s="7">
        <v>0</v>
      </c>
      <c r="C5" s="7">
        <v>8094.7</v>
      </c>
      <c r="D5" s="7">
        <v>8094.7</v>
      </c>
      <c r="E5" s="9">
        <v>0</v>
      </c>
      <c r="F5" s="9">
        <v>5</v>
      </c>
      <c r="G5" s="9">
        <v>5</v>
      </c>
      <c r="H5" s="8">
        <v>0.04132231404958678</v>
      </c>
      <c r="I5" s="11" t="s">
        <v>76</v>
      </c>
    </row>
    <row r="6" spans="1:9" ht="21" customHeight="1">
      <c r="A6" s="11" t="s">
        <v>63</v>
      </c>
      <c r="B6" s="7">
        <v>18705.37</v>
      </c>
      <c r="C6" s="7">
        <v>28500.64</v>
      </c>
      <c r="D6" s="7">
        <v>9795.27</v>
      </c>
      <c r="E6" s="9">
        <v>34</v>
      </c>
      <c r="F6" s="9">
        <v>119</v>
      </c>
      <c r="G6" s="9">
        <v>85</v>
      </c>
      <c r="H6" s="8">
        <v>0.7024793388429752</v>
      </c>
      <c r="I6" s="11" t="s">
        <v>75</v>
      </c>
    </row>
    <row r="7" spans="1:9" ht="21" customHeight="1">
      <c r="A7" s="11" t="s">
        <v>64</v>
      </c>
      <c r="B7" s="7">
        <v>9703.379999999999</v>
      </c>
      <c r="C7" s="7">
        <v>0</v>
      </c>
      <c r="D7" s="7">
        <v>-9703.379999999999</v>
      </c>
      <c r="E7" s="9">
        <v>2</v>
      </c>
      <c r="F7" s="9">
        <v>0</v>
      </c>
      <c r="G7" s="9">
        <v>-2</v>
      </c>
      <c r="H7" s="8">
        <v>-0.01652892561983471</v>
      </c>
      <c r="I7" s="11" t="s">
        <v>77</v>
      </c>
    </row>
    <row r="8" spans="1:9" ht="21" customHeight="1">
      <c r="A8" s="11" t="s">
        <v>59</v>
      </c>
      <c r="B8" s="7">
        <v>24387.85</v>
      </c>
      <c r="C8" s="7">
        <v>15200.15</v>
      </c>
      <c r="D8" s="7">
        <v>-9187.699999999999</v>
      </c>
      <c r="E8" s="9">
        <v>13</v>
      </c>
      <c r="F8" s="9">
        <v>10</v>
      </c>
      <c r="G8" s="9">
        <v>-3</v>
      </c>
      <c r="H8" s="8">
        <v>-0.02479338842975207</v>
      </c>
      <c r="I8" s="11" t="s">
        <v>75</v>
      </c>
    </row>
    <row r="9" spans="1:9" ht="21" customHeight="1">
      <c r="A9" s="11" t="s">
        <v>62</v>
      </c>
      <c r="B9" s="7">
        <v>20054.15</v>
      </c>
      <c r="C9" s="7">
        <v>0</v>
      </c>
      <c r="D9" s="7">
        <v>-20054.15</v>
      </c>
      <c r="E9" s="9">
        <v>0</v>
      </c>
      <c r="F9" s="9">
        <v>0</v>
      </c>
      <c r="G9" s="9">
        <v>0</v>
      </c>
      <c r="H9" s="8">
        <v>0</v>
      </c>
      <c r="I9" s="11" t="s">
        <v>77</v>
      </c>
    </row>
    <row r="12" spans="1:9" ht="21" customHeight="1">
      <c r="A12" s="6" t="s">
        <v>78</v>
      </c>
      <c r="B12" s="6"/>
      <c r="C12" s="6"/>
      <c r="D12" s="6"/>
      <c r="E12" s="6"/>
      <c r="F12" s="6"/>
      <c r="G12" s="6"/>
      <c r="H12" s="6"/>
      <c r="I12" s="6"/>
    </row>
    <row r="13" spans="1:9" ht="21" customHeight="1">
      <c r="A13" s="6"/>
      <c r="B13" s="6"/>
      <c r="C13" s="6"/>
      <c r="D13" s="6"/>
      <c r="E13" s="6"/>
      <c r="F13" s="6"/>
      <c r="G13" s="6"/>
      <c r="H13" s="6"/>
      <c r="I13" s="6"/>
    </row>
  </sheetData>
  <mergeCells count="1">
    <mergeCell ref="A12:I13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2.7109375" customWidth="1"/>
    <col min="2" max="2" width="31.7109375" customWidth="1"/>
    <col min="3" max="3" width="90.7109375" customWidth="1"/>
    <col min="4" max="4" width="75.7109375" customWidth="1"/>
  </cols>
  <sheetData>
    <row r="1" spans="1:4" ht="42" customHeight="1">
      <c r="A1" s="3" t="s">
        <v>79</v>
      </c>
      <c r="B1" s="3" t="s">
        <v>80</v>
      </c>
      <c r="C1" s="3" t="s">
        <v>81</v>
      </c>
      <c r="D1" s="3" t="s">
        <v>82</v>
      </c>
    </row>
    <row r="2" spans="1:4" ht="60" customHeight="1">
      <c r="A2" s="6" t="s">
        <v>83</v>
      </c>
      <c r="B2" s="6" t="s">
        <v>84</v>
      </c>
      <c r="C2" s="6" t="s">
        <v>85</v>
      </c>
      <c r="D2" s="6" t="s">
        <v>86</v>
      </c>
    </row>
    <row r="3" spans="1:4" ht="60" customHeight="1">
      <c r="A3" s="6" t="s">
        <v>87</v>
      </c>
      <c r="B3" s="6" t="s">
        <v>88</v>
      </c>
      <c r="C3" s="6" t="s">
        <v>89</v>
      </c>
      <c r="D3" s="6" t="s">
        <v>90</v>
      </c>
    </row>
    <row r="4" spans="1:4" ht="60" customHeight="1">
      <c r="A4" s="6" t="s">
        <v>91</v>
      </c>
      <c r="B4" s="6" t="s">
        <v>92</v>
      </c>
      <c r="C4" s="6" t="s">
        <v>93</v>
      </c>
      <c r="D4" s="6" t="s">
        <v>94</v>
      </c>
    </row>
    <row r="5" spans="1:4" ht="60" customHeight="1">
      <c r="A5" s="6" t="s">
        <v>95</v>
      </c>
      <c r="B5" s="6" t="s">
        <v>96</v>
      </c>
      <c r="C5" s="6" t="s">
        <v>97</v>
      </c>
      <c r="D5" s="6" t="s">
        <v>98</v>
      </c>
    </row>
    <row r="6" spans="1:4" ht="60" customHeight="1">
      <c r="A6" s="6" t="s">
        <v>99</v>
      </c>
      <c r="B6" s="6" t="s">
        <v>100</v>
      </c>
      <c r="C6" s="6" t="s">
        <v>101</v>
      </c>
      <c r="D6" s="6" t="s">
        <v>102</v>
      </c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6.7109375" customWidth="1"/>
    <col min="2" max="2" width="36.7109375" customWidth="1"/>
    <col min="3" max="3" width="18.7109375" customWidth="1"/>
    <col min="4" max="4" width="110.7109375" customWidth="1"/>
  </cols>
  <sheetData>
    <row r="1" spans="1:4" ht="42" customHeight="1">
      <c r="A1" s="3" t="s">
        <v>103</v>
      </c>
      <c r="B1" s="3" t="s">
        <v>104</v>
      </c>
      <c r="C1" s="3" t="s">
        <v>105</v>
      </c>
      <c r="D1" s="3" t="s">
        <v>106</v>
      </c>
    </row>
    <row r="2" spans="1:4" ht="32" customHeight="1">
      <c r="A2" s="6" t="s">
        <v>23</v>
      </c>
      <c r="B2" s="6" t="s">
        <v>107</v>
      </c>
      <c r="C2" s="6" t="s">
        <v>108</v>
      </c>
      <c r="D2" s="6" t="s">
        <v>109</v>
      </c>
    </row>
    <row r="3" spans="1:4" ht="32" customHeight="1">
      <c r="A3" s="6" t="s">
        <v>23</v>
      </c>
      <c r="B3" s="6" t="s">
        <v>110</v>
      </c>
      <c r="C3" s="6" t="s">
        <v>108</v>
      </c>
      <c r="D3" s="6" t="s">
        <v>111</v>
      </c>
    </row>
    <row r="4" spans="1:4" ht="32" customHeight="1">
      <c r="A4" s="6" t="s">
        <v>24</v>
      </c>
      <c r="B4" s="6" t="s">
        <v>107</v>
      </c>
      <c r="C4" s="6" t="s">
        <v>108</v>
      </c>
      <c r="D4" s="6" t="s">
        <v>112</v>
      </c>
    </row>
    <row r="5" spans="1:4" ht="32" customHeight="1">
      <c r="A5" s="6" t="s">
        <v>24</v>
      </c>
      <c r="B5" s="6" t="s">
        <v>110</v>
      </c>
      <c r="C5" s="6" t="s">
        <v>113</v>
      </c>
      <c r="D5" s="6" t="s">
        <v>114</v>
      </c>
    </row>
    <row r="6" spans="1:4" ht="32" customHeight="1">
      <c r="A6" s="6" t="s">
        <v>25</v>
      </c>
      <c r="B6" s="6" t="s">
        <v>107</v>
      </c>
      <c r="C6" s="6" t="s">
        <v>108</v>
      </c>
      <c r="D6" s="6" t="s">
        <v>112</v>
      </c>
    </row>
    <row r="7" spans="1:4" ht="32" customHeight="1">
      <c r="A7" s="6" t="s">
        <v>25</v>
      </c>
      <c r="B7" s="6" t="s">
        <v>110</v>
      </c>
      <c r="C7" s="6" t="s">
        <v>108</v>
      </c>
      <c r="D7" s="6" t="s">
        <v>115</v>
      </c>
    </row>
    <row r="10" spans="1:4" ht="35" customHeight="1">
      <c r="A10" s="6" t="s">
        <v>24</v>
      </c>
      <c r="B10" s="6" t="s">
        <v>116</v>
      </c>
      <c r="C10" s="6" t="s">
        <v>117</v>
      </c>
      <c r="D10" s="6" t="s">
        <v>118</v>
      </c>
    </row>
    <row r="11" spans="1:4" ht="35" customHeight="1">
      <c r="A11" s="6" t="s">
        <v>25</v>
      </c>
      <c r="B11" s="6" t="s">
        <v>119</v>
      </c>
      <c r="C11" s="6" t="s">
        <v>117</v>
      </c>
      <c r="D11" s="6" t="s">
        <v>120</v>
      </c>
    </row>
    <row r="12" spans="1:4" ht="35" customHeight="1">
      <c r="A12" s="6" t="s">
        <v>25</v>
      </c>
      <c r="B12" s="6" t="s">
        <v>121</v>
      </c>
      <c r="C12" s="6" t="s">
        <v>117</v>
      </c>
      <c r="D12" s="6" t="s">
        <v>122</v>
      </c>
    </row>
  </sheetData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0.7109375" customWidth="1"/>
    <col min="2" max="2" width="145.7109375" customWidth="1"/>
  </cols>
  <sheetData>
    <row r="1" spans="1:2" ht="42" customHeight="1">
      <c r="A1" s="3" t="s">
        <v>123</v>
      </c>
      <c r="B1" s="3" t="s">
        <v>124</v>
      </c>
    </row>
    <row r="2" spans="1:2" ht="42" customHeight="1">
      <c r="A2">
        <v>1</v>
      </c>
      <c r="B2" s="6" t="s">
        <v>125</v>
      </c>
    </row>
    <row r="3" spans="1:2" ht="42" customHeight="1">
      <c r="A3">
        <v>2</v>
      </c>
      <c r="B3" s="6" t="s">
        <v>126</v>
      </c>
    </row>
    <row r="4" spans="1:2" ht="42" customHeight="1">
      <c r="A4">
        <v>3</v>
      </c>
      <c r="B4" s="6" t="s">
        <v>127</v>
      </c>
    </row>
    <row r="5" spans="1:2" ht="42" customHeight="1">
      <c r="A5">
        <v>4</v>
      </c>
      <c r="B5" s="6" t="s">
        <v>128</v>
      </c>
    </row>
    <row r="6" spans="1:2" ht="42" customHeight="1">
      <c r="A6">
        <v>5</v>
      </c>
      <c r="B6" s="6" t="s">
        <v>129</v>
      </c>
    </row>
    <row r="7" spans="1:2" ht="42" customHeight="1">
      <c r="A7">
        <v>6</v>
      </c>
      <c r="B7" s="6" t="s">
        <v>130</v>
      </c>
    </row>
    <row r="8" spans="1:2" ht="42" customHeight="1">
      <c r="A8">
        <v>7</v>
      </c>
      <c r="B8" s="6" t="s">
        <v>131</v>
      </c>
    </row>
    <row r="9" spans="1:2" ht="42" customHeight="1">
      <c r="A9">
        <v>8</v>
      </c>
      <c r="B9" s="6" t="s">
        <v>132</v>
      </c>
    </row>
    <row r="10" spans="1:2" ht="42" customHeight="1">
      <c r="A10">
        <v>9</v>
      </c>
      <c r="B10" s="6" t="s">
        <v>133</v>
      </c>
    </row>
    <row r="11" spans="1:2" ht="42" customHeight="1">
      <c r="A11">
        <v>10</v>
      </c>
      <c r="B11" s="6" t="s">
        <v>134</v>
      </c>
    </row>
    <row r="12" spans="1:2" ht="42" customHeight="1">
      <c r="A12">
        <v>11</v>
      </c>
      <c r="B12" s="6" t="s">
        <v>135</v>
      </c>
    </row>
    <row r="13" spans="1:2" ht="42" customHeight="1">
      <c r="A13">
        <v>12</v>
      </c>
      <c r="B13" s="6" t="s">
        <v>136</v>
      </c>
    </row>
  </sheetData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3.7109375" customWidth="1"/>
    <col min="2" max="2" width="43.7109375" customWidth="1"/>
    <col min="3" max="9" width="19.7109375" customWidth="1"/>
    <col min="10" max="10" width="52.7109375" customWidth="1"/>
    <col min="11" max="11" width="30.7109375" customWidth="1"/>
    <col min="12" max="12" width="18.7109375" customWidth="1"/>
  </cols>
  <sheetData>
    <row r="1" spans="1:12" ht="42" customHeight="1">
      <c r="A1" s="3" t="s">
        <v>46</v>
      </c>
      <c r="B1" s="3" t="s">
        <v>47</v>
      </c>
      <c r="C1" s="3" t="s">
        <v>137</v>
      </c>
      <c r="D1" s="3" t="s">
        <v>138</v>
      </c>
      <c r="E1" s="3" t="s">
        <v>139</v>
      </c>
      <c r="F1" s="3" t="s">
        <v>140</v>
      </c>
      <c r="G1" s="3" t="s">
        <v>141</v>
      </c>
      <c r="H1" s="3" t="s">
        <v>142</v>
      </c>
      <c r="I1" s="3" t="s">
        <v>143</v>
      </c>
      <c r="J1" s="3" t="s">
        <v>144</v>
      </c>
      <c r="K1" s="3" t="s">
        <v>145</v>
      </c>
      <c r="L1" s="3" t="s">
        <v>146</v>
      </c>
    </row>
    <row r="2" spans="1:12" ht="21" customHeight="1">
      <c r="A2" s="11" t="s">
        <v>23</v>
      </c>
      <c r="B2" s="11" t="s">
        <v>57</v>
      </c>
      <c r="C2" s="7">
        <v>16187.52</v>
      </c>
      <c r="D2" s="9">
        <v>44</v>
      </c>
      <c r="E2" s="9">
        <v>43</v>
      </c>
      <c r="F2" s="9">
        <v>3</v>
      </c>
      <c r="G2" s="9">
        <v>1</v>
      </c>
      <c r="H2" s="9">
        <v>0</v>
      </c>
      <c r="J2" s="11"/>
      <c r="L2" s="9">
        <v>3</v>
      </c>
    </row>
    <row r="3" spans="1:12" ht="21" customHeight="1">
      <c r="A3" s="11" t="s">
        <v>23</v>
      </c>
      <c r="B3" s="11" t="s">
        <v>59</v>
      </c>
      <c r="C3" s="7">
        <v>22000.16</v>
      </c>
      <c r="D3" s="9">
        <v>176</v>
      </c>
      <c r="E3" s="9">
        <v>164</v>
      </c>
      <c r="F3" s="9">
        <v>15</v>
      </c>
      <c r="G3" s="9">
        <v>0</v>
      </c>
      <c r="H3" s="9">
        <v>0</v>
      </c>
      <c r="J3" s="11"/>
      <c r="L3" s="9">
        <v>4</v>
      </c>
    </row>
    <row r="4" spans="1:12" ht="21" customHeight="1">
      <c r="A4" s="11" t="s">
        <v>23</v>
      </c>
      <c r="B4" s="11" t="s">
        <v>60</v>
      </c>
      <c r="C4" s="7">
        <v>12607.29</v>
      </c>
      <c r="D4" s="9">
        <v>1421</v>
      </c>
      <c r="E4" s="9">
        <v>1310</v>
      </c>
      <c r="F4" s="9">
        <v>379</v>
      </c>
      <c r="G4" s="9">
        <v>26</v>
      </c>
      <c r="H4" s="9">
        <v>4</v>
      </c>
      <c r="I4" s="7">
        <v>3151.821485</v>
      </c>
      <c r="J4" s="11"/>
      <c r="L4" s="9">
        <v>5</v>
      </c>
    </row>
    <row r="5" spans="1:12" ht="21" customHeight="1">
      <c r="A5" s="11" t="s">
        <v>23</v>
      </c>
      <c r="B5" s="11" t="s">
        <v>61</v>
      </c>
      <c r="C5" s="7">
        <v>10806.36</v>
      </c>
      <c r="D5" s="9">
        <v>324</v>
      </c>
      <c r="E5" s="9">
        <v>296</v>
      </c>
      <c r="F5" s="9">
        <v>99</v>
      </c>
      <c r="G5" s="9">
        <v>10</v>
      </c>
      <c r="H5" s="9">
        <v>5</v>
      </c>
      <c r="I5" s="7">
        <v>2161.272244</v>
      </c>
      <c r="J5" s="11"/>
      <c r="L5" s="9">
        <v>6</v>
      </c>
    </row>
    <row r="6" spans="1:12" ht="21" customHeight="1">
      <c r="A6" s="11" t="s">
        <v>24</v>
      </c>
      <c r="B6" s="11" t="s">
        <v>60</v>
      </c>
      <c r="C6" s="7">
        <v>22216.16</v>
      </c>
      <c r="D6" s="9">
        <v>6105</v>
      </c>
      <c r="E6" s="9">
        <v>5603</v>
      </c>
      <c r="F6" s="9">
        <v>1146</v>
      </c>
      <c r="G6" s="9">
        <v>86</v>
      </c>
      <c r="H6" s="9">
        <v>18</v>
      </c>
      <c r="I6" s="7">
        <v>1234.23</v>
      </c>
      <c r="J6" s="11" t="s">
        <v>147</v>
      </c>
      <c r="L6" s="9">
        <v>11</v>
      </c>
    </row>
    <row r="7" spans="1:12" ht="21" customHeight="1">
      <c r="A7" s="11" t="s">
        <v>24</v>
      </c>
      <c r="B7" s="11" t="s">
        <v>59</v>
      </c>
      <c r="C7" s="7">
        <v>24387.85</v>
      </c>
      <c r="D7" s="9">
        <v>5544</v>
      </c>
      <c r="E7" s="9">
        <v>5086</v>
      </c>
      <c r="F7" s="9">
        <v>999</v>
      </c>
      <c r="G7" s="9">
        <v>54</v>
      </c>
      <c r="H7" s="9">
        <v>13</v>
      </c>
      <c r="I7" s="7">
        <v>1875.99</v>
      </c>
      <c r="J7" s="11" t="s">
        <v>148</v>
      </c>
      <c r="L7" s="9">
        <v>12</v>
      </c>
    </row>
    <row r="8" spans="1:12" ht="21" customHeight="1">
      <c r="A8" s="11" t="s">
        <v>24</v>
      </c>
      <c r="B8" s="11" t="s">
        <v>62</v>
      </c>
      <c r="C8" s="7">
        <v>20054.15</v>
      </c>
      <c r="D8" s="9">
        <v>69</v>
      </c>
      <c r="E8" s="9">
        <v>67</v>
      </c>
      <c r="F8" s="9">
        <v>4</v>
      </c>
      <c r="G8" s="9">
        <v>0</v>
      </c>
      <c r="H8" s="9">
        <v>0</v>
      </c>
      <c r="J8" s="11" t="s">
        <v>148</v>
      </c>
      <c r="L8" s="9">
        <v>13</v>
      </c>
    </row>
    <row r="9" spans="1:12" ht="21" customHeight="1">
      <c r="A9" s="11" t="s">
        <v>24</v>
      </c>
      <c r="B9" s="11" t="s">
        <v>63</v>
      </c>
      <c r="C9" s="7">
        <v>18705.37</v>
      </c>
      <c r="D9" s="9">
        <v>6171</v>
      </c>
      <c r="E9" s="9">
        <v>5507</v>
      </c>
      <c r="F9" s="9">
        <v>1659</v>
      </c>
      <c r="G9" s="9">
        <v>112</v>
      </c>
      <c r="H9" s="9">
        <v>34</v>
      </c>
      <c r="I9" s="7">
        <v>550.16</v>
      </c>
      <c r="J9" s="11" t="s">
        <v>147</v>
      </c>
      <c r="L9" s="9">
        <v>14</v>
      </c>
    </row>
    <row r="10" spans="1:12" ht="21" customHeight="1">
      <c r="A10" s="11" t="s">
        <v>24</v>
      </c>
      <c r="B10" s="11" t="s">
        <v>64</v>
      </c>
      <c r="C10" s="7">
        <v>9703.379999999999</v>
      </c>
      <c r="D10" s="9">
        <v>1366</v>
      </c>
      <c r="E10" s="9">
        <v>1270</v>
      </c>
      <c r="F10" s="9">
        <v>199</v>
      </c>
      <c r="G10" s="9">
        <v>10</v>
      </c>
      <c r="H10" s="9">
        <v>2</v>
      </c>
      <c r="I10" s="7">
        <v>4851.69</v>
      </c>
      <c r="J10" s="11" t="s">
        <v>149</v>
      </c>
      <c r="L10" s="9">
        <v>15</v>
      </c>
    </row>
    <row r="11" spans="1:12" ht="21" customHeight="1">
      <c r="A11" s="11" t="s">
        <v>24</v>
      </c>
      <c r="B11" s="11" t="s">
        <v>61</v>
      </c>
      <c r="C11" s="7">
        <v>0</v>
      </c>
      <c r="J11" s="11" t="s">
        <v>150</v>
      </c>
      <c r="L11" s="9">
        <v>16</v>
      </c>
    </row>
    <row r="12" spans="1:12" ht="21" customHeight="1">
      <c r="A12" s="11" t="s">
        <v>25</v>
      </c>
      <c r="B12" s="11" t="s">
        <v>60</v>
      </c>
      <c r="C12" s="7">
        <v>28491.25</v>
      </c>
      <c r="D12" s="9">
        <v>40757</v>
      </c>
      <c r="E12" s="9">
        <v>35889</v>
      </c>
      <c r="F12" s="9">
        <v>1165</v>
      </c>
      <c r="G12" s="9">
        <v>78</v>
      </c>
      <c r="H12" s="9">
        <v>27</v>
      </c>
      <c r="I12" s="7">
        <v>1055.23</v>
      </c>
      <c r="J12" s="11" t="s">
        <v>149</v>
      </c>
      <c r="K12" s="7">
        <v>16239.13</v>
      </c>
      <c r="L12" s="9">
        <v>21</v>
      </c>
    </row>
    <row r="13" spans="1:12" ht="21" customHeight="1">
      <c r="A13" s="11" t="s">
        <v>25</v>
      </c>
      <c r="B13" s="11" t="s">
        <v>61</v>
      </c>
      <c r="C13" s="7">
        <v>28485.14</v>
      </c>
      <c r="D13" s="9">
        <v>58564</v>
      </c>
      <c r="E13" s="9">
        <v>50691</v>
      </c>
      <c r="F13" s="9">
        <v>955</v>
      </c>
      <c r="G13" s="9">
        <v>71</v>
      </c>
      <c r="H13" s="9">
        <v>14</v>
      </c>
      <c r="I13" s="7">
        <v>2034.65</v>
      </c>
      <c r="J13" s="11" t="s">
        <v>149</v>
      </c>
      <c r="K13" s="7">
        <v>13927.62</v>
      </c>
      <c r="L13" s="9">
        <v>22</v>
      </c>
    </row>
    <row r="14" spans="1:12" ht="21" customHeight="1">
      <c r="A14" s="11" t="s">
        <v>25</v>
      </c>
      <c r="B14" s="11" t="s">
        <v>63</v>
      </c>
      <c r="C14" s="7">
        <v>28500.64</v>
      </c>
      <c r="D14" s="9">
        <v>17278</v>
      </c>
      <c r="E14" s="9">
        <v>15080</v>
      </c>
      <c r="F14" s="9">
        <v>3825</v>
      </c>
      <c r="G14" s="9">
        <v>396</v>
      </c>
      <c r="H14" s="9">
        <v>119</v>
      </c>
      <c r="I14" s="7">
        <v>239.5</v>
      </c>
      <c r="J14" s="11" t="s">
        <v>149</v>
      </c>
      <c r="K14" s="7">
        <v>18399.74</v>
      </c>
      <c r="L14" s="9">
        <v>23</v>
      </c>
    </row>
    <row r="15" spans="1:12" ht="21" customHeight="1">
      <c r="A15" s="11" t="s">
        <v>25</v>
      </c>
      <c r="B15" s="11" t="s">
        <v>59</v>
      </c>
      <c r="C15" s="7">
        <v>15200.15</v>
      </c>
      <c r="D15" s="9">
        <v>3140</v>
      </c>
      <c r="E15" s="9">
        <v>2816</v>
      </c>
      <c r="F15" s="9">
        <v>861</v>
      </c>
      <c r="G15" s="9">
        <v>42</v>
      </c>
      <c r="H15" s="9">
        <v>10</v>
      </c>
      <c r="I15" s="7">
        <v>1520.01</v>
      </c>
      <c r="J15" s="11" t="s">
        <v>151</v>
      </c>
      <c r="K15" s="7">
        <v>18331.91</v>
      </c>
      <c r="L15" s="9">
        <v>24</v>
      </c>
    </row>
    <row r="16" spans="1:12" ht="21" customHeight="1">
      <c r="A16" s="11" t="s">
        <v>25</v>
      </c>
      <c r="B16" s="11" t="s">
        <v>65</v>
      </c>
      <c r="C16" s="7">
        <v>10347.32</v>
      </c>
      <c r="D16" s="9">
        <v>18614</v>
      </c>
      <c r="E16" s="9">
        <v>16656</v>
      </c>
      <c r="F16" s="9">
        <v>605</v>
      </c>
      <c r="G16" s="9">
        <v>46</v>
      </c>
      <c r="H16" s="9">
        <v>13</v>
      </c>
      <c r="I16" s="7">
        <v>795.95</v>
      </c>
      <c r="J16" s="11" t="s">
        <v>152</v>
      </c>
      <c r="K16" s="7">
        <v>18320.07</v>
      </c>
      <c r="L16" s="9">
        <v>25</v>
      </c>
    </row>
    <row r="17" spans="1:12" ht="21" customHeight="1">
      <c r="A17" s="11" t="s">
        <v>25</v>
      </c>
      <c r="B17" s="11" t="s">
        <v>66</v>
      </c>
      <c r="C17" s="7">
        <v>8094.7</v>
      </c>
      <c r="D17" s="9">
        <v>17246</v>
      </c>
      <c r="E17" s="9">
        <v>15193</v>
      </c>
      <c r="F17" s="9">
        <v>512</v>
      </c>
      <c r="G17" s="9">
        <v>26</v>
      </c>
      <c r="H17" s="9">
        <v>5</v>
      </c>
      <c r="I17" s="7">
        <v>1618.94</v>
      </c>
      <c r="J17" s="11" t="s">
        <v>152</v>
      </c>
      <c r="L17" s="9">
        <v>26</v>
      </c>
    </row>
  </sheetData>
  <autoFilter ref="A1:L17"/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3" width="22.7109375" customWidth="1"/>
  </cols>
  <sheetData>
    <row r="1" spans="1:12" ht="21" customHeight="1">
      <c r="A1" t="s">
        <v>153</v>
      </c>
    </row>
    <row r="2" spans="1:12" ht="21" customHeight="1">
      <c r="A2" t="s">
        <v>47</v>
      </c>
      <c r="C2" t="s">
        <v>154</v>
      </c>
      <c r="D2" t="s">
        <v>31</v>
      </c>
      <c r="F2" t="s">
        <v>155</v>
      </c>
      <c r="G2" t="s">
        <v>33</v>
      </c>
      <c r="H2" t="s">
        <v>34</v>
      </c>
      <c r="I2" t="s">
        <v>156</v>
      </c>
      <c r="K2" t="s">
        <v>157</v>
      </c>
      <c r="L2" t="s">
        <v>158</v>
      </c>
    </row>
    <row r="3" spans="1:12" ht="21" customHeight="1">
      <c r="A3" t="s">
        <v>57</v>
      </c>
      <c r="C3" t="s">
        <v>159</v>
      </c>
      <c r="D3" t="s">
        <v>160</v>
      </c>
      <c r="F3" t="s">
        <v>161</v>
      </c>
      <c r="G3" t="s">
        <v>91</v>
      </c>
      <c r="H3" t="s">
        <v>83</v>
      </c>
      <c r="I3" t="s">
        <v>150</v>
      </c>
      <c r="K3" t="s">
        <v>162</v>
      </c>
    </row>
    <row r="4" spans="1:12" ht="21" customHeight="1">
      <c r="A4" t="s">
        <v>59</v>
      </c>
      <c r="C4" t="s">
        <v>163</v>
      </c>
      <c r="D4" t="s">
        <v>164</v>
      </c>
      <c r="F4" t="s">
        <v>165</v>
      </c>
      <c r="G4" t="s">
        <v>166</v>
      </c>
      <c r="H4" t="s">
        <v>150</v>
      </c>
      <c r="I4" t="s">
        <v>150</v>
      </c>
      <c r="K4" t="s">
        <v>162</v>
      </c>
    </row>
    <row r="5" spans="1:12" ht="21" customHeight="1">
      <c r="A5" t="s">
        <v>60</v>
      </c>
      <c r="C5" t="s">
        <v>167</v>
      </c>
      <c r="D5" t="s">
        <v>168</v>
      </c>
      <c r="F5" t="s">
        <v>169</v>
      </c>
      <c r="G5" t="s">
        <v>170</v>
      </c>
      <c r="H5" t="s">
        <v>171</v>
      </c>
      <c r="I5" t="s">
        <v>95</v>
      </c>
      <c r="K5" t="s">
        <v>172</v>
      </c>
    </row>
    <row r="6" spans="1:12" ht="21" customHeight="1">
      <c r="A6" t="s">
        <v>61</v>
      </c>
      <c r="C6" t="s">
        <v>173</v>
      </c>
      <c r="D6" t="s">
        <v>174</v>
      </c>
      <c r="F6" t="s">
        <v>175</v>
      </c>
      <c r="G6" t="s">
        <v>176</v>
      </c>
      <c r="H6" t="s">
        <v>177</v>
      </c>
      <c r="I6" t="s">
        <v>99</v>
      </c>
      <c r="K6" t="s">
        <v>178</v>
      </c>
    </row>
    <row r="7" spans="1:12" ht="21" customHeight="1">
      <c r="A7" t="s">
        <v>179</v>
      </c>
      <c r="C7" t="s">
        <v>180</v>
      </c>
    </row>
    <row r="9" spans="1:12" ht="21" customHeight="1">
      <c r="A9" t="s">
        <v>181</v>
      </c>
    </row>
    <row r="10" spans="1:12" ht="21" customHeight="1">
      <c r="A10" t="s">
        <v>47</v>
      </c>
      <c r="B10" t="s">
        <v>182</v>
      </c>
      <c r="C10" t="s">
        <v>154</v>
      </c>
      <c r="D10" t="s">
        <v>31</v>
      </c>
      <c r="E10" t="s">
        <v>183</v>
      </c>
      <c r="F10" t="s">
        <v>155</v>
      </c>
      <c r="G10" t="s">
        <v>33</v>
      </c>
      <c r="H10" t="s">
        <v>34</v>
      </c>
      <c r="I10" t="s">
        <v>156</v>
      </c>
      <c r="J10" t="s">
        <v>183</v>
      </c>
      <c r="K10" t="s">
        <v>157</v>
      </c>
      <c r="L10" t="s">
        <v>158</v>
      </c>
    </row>
    <row r="11" spans="1:12" ht="21" customHeight="1">
      <c r="A11" t="s">
        <v>60</v>
      </c>
      <c r="B11" t="s">
        <v>184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  <c r="H11" t="s">
        <v>190</v>
      </c>
      <c r="I11" t="s">
        <v>191</v>
      </c>
      <c r="J11" t="s">
        <v>192</v>
      </c>
      <c r="K11" t="s">
        <v>193</v>
      </c>
      <c r="L11" t="s">
        <v>147</v>
      </c>
    </row>
    <row r="12" spans="1:12" ht="21" customHeight="1">
      <c r="A12" t="s">
        <v>59</v>
      </c>
      <c r="B12" t="s">
        <v>194</v>
      </c>
      <c r="C12" t="s">
        <v>195</v>
      </c>
      <c r="D12" t="s">
        <v>196</v>
      </c>
      <c r="E12" t="s">
        <v>197</v>
      </c>
      <c r="F12" t="s">
        <v>198</v>
      </c>
      <c r="G12" t="s">
        <v>199</v>
      </c>
      <c r="H12" t="s">
        <v>200</v>
      </c>
      <c r="I12" t="s">
        <v>201</v>
      </c>
      <c r="J12" t="s">
        <v>202</v>
      </c>
      <c r="K12" t="s">
        <v>203</v>
      </c>
      <c r="L12" t="s">
        <v>148</v>
      </c>
    </row>
    <row r="13" spans="1:12" ht="21" customHeight="1">
      <c r="A13" t="s">
        <v>62</v>
      </c>
      <c r="B13" t="s">
        <v>194</v>
      </c>
      <c r="C13" t="s">
        <v>204</v>
      </c>
      <c r="D13" t="s">
        <v>205</v>
      </c>
      <c r="F13" t="s">
        <v>206</v>
      </c>
      <c r="G13" t="s">
        <v>95</v>
      </c>
      <c r="H13" t="s">
        <v>150</v>
      </c>
      <c r="I13" t="s">
        <v>150</v>
      </c>
      <c r="K13" t="s">
        <v>162</v>
      </c>
      <c r="L13" t="s">
        <v>148</v>
      </c>
    </row>
    <row r="14" spans="1:12" ht="21" customHeight="1">
      <c r="A14" t="s">
        <v>63</v>
      </c>
      <c r="B14" t="s">
        <v>184</v>
      </c>
      <c r="C14" t="s">
        <v>207</v>
      </c>
      <c r="D14" t="s">
        <v>208</v>
      </c>
      <c r="F14" t="s">
        <v>209</v>
      </c>
      <c r="G14" t="s">
        <v>210</v>
      </c>
      <c r="H14" t="s">
        <v>211</v>
      </c>
      <c r="I14" t="s">
        <v>212</v>
      </c>
      <c r="K14" t="s">
        <v>213</v>
      </c>
      <c r="L14" t="s">
        <v>147</v>
      </c>
    </row>
    <row r="15" spans="1:12" ht="21" customHeight="1">
      <c r="A15" t="s">
        <v>64</v>
      </c>
      <c r="B15" t="s">
        <v>214</v>
      </c>
      <c r="C15" t="s">
        <v>215</v>
      </c>
      <c r="D15" t="s">
        <v>216</v>
      </c>
      <c r="F15" t="s">
        <v>217</v>
      </c>
      <c r="G15" t="s">
        <v>218</v>
      </c>
      <c r="H15" t="s">
        <v>177</v>
      </c>
      <c r="I15" t="s">
        <v>87</v>
      </c>
      <c r="K15" t="s">
        <v>219</v>
      </c>
      <c r="L15" t="s">
        <v>149</v>
      </c>
    </row>
    <row r="16" spans="1:12" ht="21" customHeight="1">
      <c r="A16" t="s">
        <v>61</v>
      </c>
      <c r="B16" t="s">
        <v>214</v>
      </c>
      <c r="C16" t="s">
        <v>214</v>
      </c>
      <c r="D16" t="s">
        <v>162</v>
      </c>
      <c r="F16" t="s">
        <v>162</v>
      </c>
      <c r="G16" t="s">
        <v>162</v>
      </c>
      <c r="H16" t="s">
        <v>162</v>
      </c>
      <c r="I16" t="s">
        <v>162</v>
      </c>
      <c r="K16" t="s">
        <v>162</v>
      </c>
      <c r="L16" t="s">
        <v>150</v>
      </c>
    </row>
    <row r="17" spans="1:13" ht="21" customHeight="1">
      <c r="A17" t="s">
        <v>179</v>
      </c>
      <c r="C17" t="s">
        <v>220</v>
      </c>
    </row>
    <row r="19" spans="1:13" ht="21" customHeight="1">
      <c r="A19" t="s">
        <v>25</v>
      </c>
    </row>
    <row r="20" spans="1:13" ht="21" customHeight="1">
      <c r="A20" t="s">
        <v>47</v>
      </c>
      <c r="B20" t="s">
        <v>182</v>
      </c>
      <c r="C20" t="s">
        <v>154</v>
      </c>
      <c r="D20" t="s">
        <v>31</v>
      </c>
      <c r="E20" t="s">
        <v>183</v>
      </c>
      <c r="F20" t="s">
        <v>155</v>
      </c>
      <c r="G20" t="s">
        <v>33</v>
      </c>
      <c r="H20" t="s">
        <v>34</v>
      </c>
      <c r="I20" t="s">
        <v>156</v>
      </c>
      <c r="J20" t="s">
        <v>183</v>
      </c>
      <c r="K20" t="s">
        <v>157</v>
      </c>
      <c r="L20" t="s">
        <v>158</v>
      </c>
      <c r="M20" t="s">
        <v>221</v>
      </c>
    </row>
    <row r="21" spans="1:13" ht="21" customHeight="1">
      <c r="A21" t="s">
        <v>60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149</v>
      </c>
      <c r="M21" t="s">
        <v>231</v>
      </c>
    </row>
    <row r="22" spans="1:13" ht="21" customHeight="1">
      <c r="A22" t="s">
        <v>61</v>
      </c>
      <c r="C22" t="s">
        <v>232</v>
      </c>
      <c r="D22" t="s">
        <v>233</v>
      </c>
      <c r="F22" t="s">
        <v>234</v>
      </c>
      <c r="G22" t="s">
        <v>235</v>
      </c>
      <c r="H22" t="s">
        <v>236</v>
      </c>
      <c r="I22" t="s">
        <v>237</v>
      </c>
      <c r="K22" t="s">
        <v>238</v>
      </c>
      <c r="L22" t="s">
        <v>149</v>
      </c>
      <c r="M22" t="s">
        <v>239</v>
      </c>
    </row>
    <row r="23" spans="1:13" ht="21" customHeight="1">
      <c r="A23" t="s">
        <v>63</v>
      </c>
      <c r="C23" t="s">
        <v>240</v>
      </c>
      <c r="D23" t="s">
        <v>241</v>
      </c>
      <c r="E23" t="s">
        <v>242</v>
      </c>
      <c r="F23" t="s">
        <v>243</v>
      </c>
      <c r="G23" t="s">
        <v>244</v>
      </c>
      <c r="H23" t="s">
        <v>245</v>
      </c>
      <c r="I23" t="s">
        <v>246</v>
      </c>
      <c r="J23" t="s">
        <v>247</v>
      </c>
      <c r="K23" t="s">
        <v>248</v>
      </c>
      <c r="L23" t="s">
        <v>149</v>
      </c>
      <c r="M23" t="s">
        <v>249</v>
      </c>
    </row>
    <row r="24" spans="1:13" ht="21" customHeight="1">
      <c r="A24" t="s">
        <v>59</v>
      </c>
      <c r="C24" t="s">
        <v>250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177</v>
      </c>
      <c r="J24" t="s">
        <v>256</v>
      </c>
      <c r="K24" t="s">
        <v>257</v>
      </c>
      <c r="L24" t="s">
        <v>151</v>
      </c>
      <c r="M24" t="s">
        <v>258</v>
      </c>
    </row>
    <row r="25" spans="1:13" ht="21" customHeight="1">
      <c r="A25" t="s">
        <v>65</v>
      </c>
      <c r="C25" t="s">
        <v>259</v>
      </c>
      <c r="D25" t="s">
        <v>260</v>
      </c>
      <c r="F25" t="s">
        <v>261</v>
      </c>
      <c r="G25" t="s">
        <v>262</v>
      </c>
      <c r="H25" t="s">
        <v>263</v>
      </c>
      <c r="I25" t="s">
        <v>201</v>
      </c>
      <c r="K25" t="s">
        <v>264</v>
      </c>
      <c r="L25" t="s">
        <v>152</v>
      </c>
      <c r="M25" t="s">
        <v>265</v>
      </c>
    </row>
    <row r="26" spans="1:13" ht="21" customHeight="1">
      <c r="A26" t="s">
        <v>66</v>
      </c>
      <c r="C26" t="s">
        <v>266</v>
      </c>
      <c r="D26" t="s">
        <v>267</v>
      </c>
      <c r="F26" t="s">
        <v>268</v>
      </c>
      <c r="G26" t="s">
        <v>269</v>
      </c>
      <c r="H26" t="s">
        <v>171</v>
      </c>
      <c r="I26" t="s">
        <v>99</v>
      </c>
      <c r="K26" t="s">
        <v>270</v>
      </c>
      <c r="L26" t="s">
        <v>152</v>
      </c>
    </row>
    <row r="27" spans="1:13" ht="21" customHeight="1">
      <c r="A27" t="s">
        <v>179</v>
      </c>
      <c r="C27" t="s">
        <v>271</v>
      </c>
    </row>
    <row r="29" spans="1:13" ht="21" customHeight="1">
      <c r="A29" t="s">
        <v>272</v>
      </c>
    </row>
    <row r="30" spans="1:13" ht="21" customHeight="1">
      <c r="A30" t="s">
        <v>47</v>
      </c>
      <c r="B30" t="s">
        <v>182</v>
      </c>
      <c r="C30" t="s">
        <v>154</v>
      </c>
      <c r="D30" t="s">
        <v>31</v>
      </c>
      <c r="E30" t="s">
        <v>183</v>
      </c>
      <c r="F30" t="s">
        <v>155</v>
      </c>
      <c r="G30" t="s">
        <v>33</v>
      </c>
      <c r="H30" t="s">
        <v>34</v>
      </c>
      <c r="I30" t="s">
        <v>156</v>
      </c>
      <c r="J30" t="s">
        <v>183</v>
      </c>
      <c r="K30" t="s">
        <v>157</v>
      </c>
      <c r="L30" t="s">
        <v>158</v>
      </c>
    </row>
    <row r="31" spans="1:13" ht="21" customHeight="1">
      <c r="A31" t="s">
        <v>60</v>
      </c>
      <c r="C31" t="s">
        <v>222</v>
      </c>
      <c r="D31" t="s">
        <v>223</v>
      </c>
      <c r="F31" t="s">
        <v>225</v>
      </c>
      <c r="G31" t="s">
        <v>226</v>
      </c>
      <c r="H31" t="s">
        <v>227</v>
      </c>
      <c r="I31" t="s">
        <v>228</v>
      </c>
      <c r="K31" t="s">
        <v>230</v>
      </c>
      <c r="L31" t="s">
        <v>149</v>
      </c>
    </row>
    <row r="32" spans="1:13" ht="21" customHeight="1">
      <c r="A32" t="s">
        <v>273</v>
      </c>
      <c r="C32" t="s">
        <v>274</v>
      </c>
      <c r="L32" t="s">
        <v>149</v>
      </c>
    </row>
    <row r="33" spans="1:12" ht="21" customHeight="1">
      <c r="A33" t="s">
        <v>61</v>
      </c>
    </row>
    <row r="34" spans="1:12" ht="21" customHeight="1">
      <c r="A34" t="s">
        <v>63</v>
      </c>
      <c r="C34" t="s">
        <v>240</v>
      </c>
      <c r="D34" t="s">
        <v>241</v>
      </c>
      <c r="F34" t="s">
        <v>243</v>
      </c>
      <c r="G34" t="s">
        <v>244</v>
      </c>
      <c r="H34" t="s">
        <v>245</v>
      </c>
      <c r="I34" t="s">
        <v>246</v>
      </c>
      <c r="K34" t="s">
        <v>248</v>
      </c>
      <c r="L34" t="s">
        <v>149</v>
      </c>
    </row>
    <row r="35" spans="1:12" ht="21" customHeight="1">
      <c r="A35" t="s">
        <v>59</v>
      </c>
    </row>
    <row r="36" spans="1:12" ht="21" customHeight="1">
      <c r="A36" t="s">
        <v>65</v>
      </c>
      <c r="B36" t="s">
        <v>275</v>
      </c>
      <c r="C36" t="s">
        <v>259</v>
      </c>
      <c r="D36" t="s">
        <v>260</v>
      </c>
      <c r="F36" t="s">
        <v>261</v>
      </c>
      <c r="G36" t="s">
        <v>262</v>
      </c>
      <c r="H36" t="s">
        <v>263</v>
      </c>
      <c r="I36" t="s">
        <v>201</v>
      </c>
      <c r="K36" t="s">
        <v>264</v>
      </c>
      <c r="L36" t="s">
        <v>276</v>
      </c>
    </row>
    <row r="37" spans="1:12" ht="21" customHeight="1">
      <c r="A37" t="s">
        <v>66</v>
      </c>
      <c r="B37" t="s">
        <v>277</v>
      </c>
      <c r="C37" t="s">
        <v>278</v>
      </c>
      <c r="D37" t="s">
        <v>267</v>
      </c>
      <c r="F37" t="s">
        <v>268</v>
      </c>
      <c r="G37" t="s">
        <v>269</v>
      </c>
      <c r="H37" t="s">
        <v>171</v>
      </c>
      <c r="I37" t="s">
        <v>99</v>
      </c>
      <c r="K37" t="s">
        <v>270</v>
      </c>
      <c r="L37" t="s">
        <v>279</v>
      </c>
    </row>
    <row r="38" spans="1:12" ht="21" customHeight="1">
      <c r="A38" t="s">
        <v>179</v>
      </c>
      <c r="C38" t="s">
        <v>280</v>
      </c>
    </row>
    <row r="48" spans="1:12" ht="21" customHeight="1">
      <c r="A48" t="s">
        <v>281</v>
      </c>
    </row>
    <row r="50" spans="1:4" ht="21" customHeight="1">
      <c r="A50" t="s">
        <v>282</v>
      </c>
      <c r="B50" t="s">
        <v>283</v>
      </c>
      <c r="C50" t="s">
        <v>284</v>
      </c>
      <c r="D50" t="s">
        <v>285</v>
      </c>
    </row>
    <row r="51" spans="1:4" ht="21" customHeight="1">
      <c r="A51" t="s">
        <v>286</v>
      </c>
      <c r="B51" t="s">
        <v>287</v>
      </c>
    </row>
    <row r="53" spans="1:4" ht="21" customHeight="1">
      <c r="B53" t="s">
        <v>288</v>
      </c>
    </row>
    <row r="54" spans="1:4" ht="21" customHeight="1">
      <c r="B54" t="s">
        <v>287</v>
      </c>
    </row>
    <row r="55" spans="1:4" ht="21" customHeight="1">
      <c r="B55" t="s">
        <v>289</v>
      </c>
    </row>
  </sheetData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6" width="16.7109375" customWidth="1"/>
  </cols>
  <sheetData>
    <row r="1" spans="1:6" ht="42" customHeight="1">
      <c r="A1" s="3" t="s">
        <v>46</v>
      </c>
      <c r="B1" s="3" t="s">
        <v>29</v>
      </c>
      <c r="C1" s="3" t="s">
        <v>49</v>
      </c>
      <c r="D1" s="3" t="s">
        <v>35</v>
      </c>
      <c r="E1" s="3" t="s">
        <v>31</v>
      </c>
      <c r="F1" s="3" t="s">
        <v>51</v>
      </c>
    </row>
    <row r="2" spans="1:6" ht="21" customHeight="1">
      <c r="A2" t="s">
        <v>23</v>
      </c>
      <c r="B2">
        <v>61601.33</v>
      </c>
      <c r="C2">
        <v>9</v>
      </c>
      <c r="D2">
        <v>6844.592222222223</v>
      </c>
      <c r="E2">
        <v>1965</v>
      </c>
      <c r="F2">
        <v>0.004580152671755725</v>
      </c>
    </row>
    <row r="3" spans="1:6" ht="21" customHeight="1">
      <c r="A3" t="s">
        <v>24</v>
      </c>
      <c r="B3">
        <v>95066.91</v>
      </c>
      <c r="C3">
        <v>67</v>
      </c>
      <c r="D3">
        <v>1418.909104477612</v>
      </c>
      <c r="E3">
        <v>19255</v>
      </c>
      <c r="F3">
        <v>0.00347961568423786</v>
      </c>
    </row>
    <row r="4" spans="1:6" ht="21" customHeight="1">
      <c r="A4" t="s">
        <v>25</v>
      </c>
      <c r="B4">
        <v>119119.2</v>
      </c>
      <c r="C4">
        <v>188</v>
      </c>
      <c r="D4">
        <v>633.6127659574468</v>
      </c>
      <c r="E4">
        <v>155599</v>
      </c>
      <c r="F4">
        <v>0.001208233986079602</v>
      </c>
    </row>
  </sheetData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38.7109375" customWidth="1"/>
    <col min="2" max="3" width="23.7109375" customWidth="1"/>
    <col min="4" max="4" width="26.7109375" customWidth="1"/>
    <col min="5" max="5" width="95.7109375" customWidth="1"/>
  </cols>
  <sheetData>
    <row r="1" spans="1:8" ht="42" customHeight="1">
      <c r="A1" s="3" t="s">
        <v>290</v>
      </c>
      <c r="B1" s="3" t="s">
        <v>291</v>
      </c>
      <c r="C1" s="3" t="s">
        <v>292</v>
      </c>
      <c r="D1" s="3" t="s">
        <v>293</v>
      </c>
      <c r="E1" s="3" t="s">
        <v>294</v>
      </c>
    </row>
    <row r="2" spans="1:8" ht="21" customHeight="1">
      <c r="A2" s="6" t="s">
        <v>295</v>
      </c>
      <c r="B2" s="6" t="s">
        <v>296</v>
      </c>
      <c r="C2" s="6"/>
      <c r="D2" s="6"/>
      <c r="E2" s="6" t="s">
        <v>297</v>
      </c>
    </row>
    <row r="4" spans="1:8" ht="21" customHeight="1">
      <c r="A4" t="s">
        <v>298</v>
      </c>
      <c r="B4" s="7">
        <v>115276.6451612903</v>
      </c>
      <c r="E4" s="6" t="s">
        <v>303</v>
      </c>
      <c r="F4" s="6"/>
      <c r="G4" s="6"/>
      <c r="H4" s="6"/>
    </row>
    <row r="5" spans="1:8" ht="21" customHeight="1">
      <c r="A5" t="s">
        <v>299</v>
      </c>
      <c r="B5" s="8">
        <v>0.2</v>
      </c>
      <c r="E5" s="6"/>
      <c r="F5" s="6"/>
      <c r="G5" s="6"/>
      <c r="H5" s="6"/>
    </row>
    <row r="6" spans="1:8" ht="21" customHeight="1">
      <c r="A6" t="s">
        <v>300</v>
      </c>
      <c r="B6" s="7">
        <v>633.6127659574468</v>
      </c>
    </row>
    <row r="7" spans="1:8" ht="21" customHeight="1">
      <c r="A7" t="s">
        <v>301</v>
      </c>
      <c r="B7" s="7">
        <v>1418.909104477612</v>
      </c>
    </row>
    <row r="8" spans="1:8" ht="21" customHeight="1">
      <c r="A8" t="s">
        <v>302</v>
      </c>
      <c r="B8" s="7">
        <v>839.9455294117646</v>
      </c>
    </row>
    <row r="11" spans="1:8" ht="43" customHeight="1">
      <c r="A11" t="s">
        <v>304</v>
      </c>
      <c r="B11" s="7">
        <f>$B$4</f>
        <v>115276.64516129032</v>
      </c>
      <c r="C11" s="7">
        <f>$B$7</f>
        <v>1418.909104477612</v>
      </c>
      <c r="D11" s="10">
        <f>IFERROR(B11/C11,"N/A")</f>
        <v>81.24314996465596</v>
      </c>
      <c r="E11" s="6" t="s">
        <v>305</v>
      </c>
    </row>
    <row r="12" spans="1:8" ht="43" customHeight="1">
      <c r="A12" t="s">
        <v>306</v>
      </c>
      <c r="B12" s="7">
        <f>$B$4</f>
        <v>115276.64516129032</v>
      </c>
      <c r="C12" s="7">
        <f>$B$8</f>
        <v>839.9455294117646</v>
      </c>
      <c r="D12" s="10">
        <f>IFERROR(B12/C12,"N/A")</f>
        <v>137.24300103367597</v>
      </c>
      <c r="E12" s="6" t="s">
        <v>307</v>
      </c>
    </row>
    <row r="13" spans="1:8" ht="43" customHeight="1">
      <c r="A13" t="s">
        <v>308</v>
      </c>
      <c r="B13" s="7">
        <f>$B$4</f>
        <v>115276.64516129032</v>
      </c>
      <c r="C13" s="7">
        <f>$B$6</f>
        <v>633.6127659574468</v>
      </c>
      <c r="D13" s="10">
        <f>IFERROR(B13/C13,"N/A")</f>
        <v>181.93548387096774</v>
      </c>
      <c r="E13" s="6" t="s">
        <v>309</v>
      </c>
    </row>
    <row r="14" spans="1:8" ht="43" customHeight="1">
      <c r="A14" t="s">
        <v>310</v>
      </c>
      <c r="B14" s="7">
        <f>$B$4</f>
        <v>115276.64516129032</v>
      </c>
      <c r="C14" s="7">
        <f>$B$6*(1-$B$5)</f>
        <v>506.8902127659574</v>
      </c>
      <c r="D14" s="10">
        <f>IFERROR(B14/C14,"N/A")</f>
        <v>227.4193548387097</v>
      </c>
      <c r="E14" s="6" t="s">
        <v>311</v>
      </c>
    </row>
    <row r="17" spans="1:5" ht="21" customHeight="1">
      <c r="A17" s="6" t="s">
        <v>312</v>
      </c>
      <c r="B17" s="6"/>
      <c r="C17" s="6"/>
      <c r="D17" s="6"/>
      <c r="E17" s="6"/>
    </row>
    <row r="18" spans="1:5" ht="21" customHeight="1">
      <c r="A18" s="6"/>
      <c r="B18" s="6"/>
      <c r="C18" s="6"/>
      <c r="D18" s="6"/>
      <c r="E18" s="6"/>
    </row>
    <row r="20" spans="1:5" ht="21" customHeight="1">
      <c r="A20" s="6" t="s">
        <v>313</v>
      </c>
      <c r="B20" s="6"/>
      <c r="C20" s="6"/>
      <c r="D20" s="6"/>
      <c r="E20" s="6"/>
    </row>
    <row r="21" spans="1:5" ht="21" customHeight="1">
      <c r="A21" s="6"/>
      <c r="B21" s="6"/>
      <c r="C21" s="6"/>
      <c r="D21" s="6"/>
      <c r="E21" s="6"/>
    </row>
    <row r="24" spans="1:5" ht="21" customHeight="1">
      <c r="A24" s="3" t="s">
        <v>314</v>
      </c>
      <c r="B24" s="3" t="s">
        <v>315</v>
      </c>
      <c r="C24" s="3" t="s">
        <v>316</v>
      </c>
      <c r="D24" s="3" t="s">
        <v>317</v>
      </c>
    </row>
    <row r="25" spans="1:5" ht="21" customHeight="1">
      <c r="A25" s="7">
        <f>$B$4*0.8</f>
        <v>92221.31612903226</v>
      </c>
      <c r="B25" s="10">
        <f>IFERROR(A25/($B$6*1.2),"N/A")</f>
        <v>121.29032258064518</v>
      </c>
      <c r="C25" s="10">
        <f>IFERROR(A25/($B$6*1),"N/A")</f>
        <v>145.5483870967742</v>
      </c>
      <c r="D25" s="10">
        <f>IFERROR(A25/($B$6*0.8),"N/A")</f>
        <v>181.93548387096777</v>
      </c>
    </row>
    <row r="26" spans="1:5" ht="21" customHeight="1">
      <c r="A26" s="7">
        <f>$B$4*1</f>
        <v>115276.64516129032</v>
      </c>
      <c r="B26" s="10">
        <f>IFERROR(A26/($B$6*1.2),"N/A")</f>
        <v>151.61290322580646</v>
      </c>
      <c r="C26" s="10">
        <f>IFERROR(A26/($B$6*1),"N/A")</f>
        <v>181.93548387096774</v>
      </c>
      <c r="D26" s="10">
        <f>IFERROR(A26/($B$6*0.8),"N/A")</f>
        <v>227.4193548387097</v>
      </c>
    </row>
    <row r="27" spans="1:5" ht="21" customHeight="1">
      <c r="A27" s="7">
        <f>$B$4*1.2</f>
        <v>138331.97419354838</v>
      </c>
      <c r="B27" s="10">
        <f>IFERROR(A27/($B$6*1.2),"N/A")</f>
        <v>181.93548387096777</v>
      </c>
      <c r="C27" s="10">
        <f>IFERROR(A27/($B$6*1),"N/A")</f>
        <v>218.32258064516128</v>
      </c>
      <c r="D27" s="10">
        <f>IFERROR(A27/($B$6*0.8),"N/A")</f>
        <v>272.9032258064516</v>
      </c>
    </row>
    <row r="29" spans="1:5" ht="21" customHeight="1">
      <c r="A29" s="6" t="s">
        <v>318</v>
      </c>
      <c r="B29" s="6"/>
      <c r="C29" s="6"/>
      <c r="D29" s="6"/>
      <c r="E29" s="6"/>
    </row>
    <row r="30" spans="1:5" ht="21" customHeight="1">
      <c r="A30" s="6"/>
      <c r="B30" s="6"/>
      <c r="C30" s="6"/>
      <c r="D30" s="6"/>
      <c r="E30" s="6"/>
    </row>
  </sheetData>
  <mergeCells count="4">
    <mergeCell ref="E4:H5"/>
    <mergeCell ref="A17:E18"/>
    <mergeCell ref="A20:E21"/>
    <mergeCell ref="A29:E30"/>
  </mergeCells>
  <pageMargins left="0.7" right="0.7" top="0.75" bottom="0.75" header="0.3" footer="0.3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Executive Dashboard</vt:lpstr>
      <vt:lpstr>Monthly Summary</vt:lpstr>
      <vt:lpstr>Campaign Breakdown</vt:lpstr>
      <vt:lpstr>July August Drivers</vt:lpstr>
      <vt:lpstr>Actions</vt:lpstr>
      <vt:lpstr>Data Quality</vt:lpstr>
      <vt:lpstr>Methodology</vt:lpstr>
      <vt:lpstr>Raw Data</vt:lpstr>
      <vt:lpstr>Source CSV</vt:lpstr>
      <vt:lpstr>Charts Data</vt:lpstr>
      <vt:lpstr>September Forecast</vt:lpstr>
      <vt:lpstr>'Executive Dashboard'!Print_Area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GulongPH Google Ads | June–August 2026</dc:title>
  <dc:creator/>
  <dc:description>Built from local CSV exports; metrics recalculated.</dc:description>
  <cp:lastModifiedBy/>
  <dcterms:created xsi:type="dcterms:W3CDTF">2026-09-09T08:10:07Z</dcterms:created>
  <dcterms:modified xsi:type="dcterms:W3CDTF">2026-09-09T08:10:07Z</dcterms:modified>
</cp:coreProperties>
</file>